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ate-wise Resources (BCM)" sheetId="2" state="visible" r:id="rId4"/>
    <sheet name="Chart Data - Stage %" sheetId="3" state="visible" r:id="rId5"/>
    <sheet name="Assessment Unit Categorisation" sheetId="4" state="visible" r:id="rId6"/>
    <sheet name="Chart Data - Categoris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<sst xmlns="http://schemas.openxmlformats.org/spreadsheetml/2006/main" count="185" uniqueCount="91">
  <si>
    <t xml:space="preserve">Groundwater Resources of India — 2024 Assessment</t>
  </si>
  <si>
    <t xml:space="preserve">Source: National Compilation on Dynamic Ground Water Resources of India 2024, Central Ground Water Board (CGWB) &amp; State Ground Water Departments, Ministry of Jal Shakti, Govt. of India. Released 31-Dec-2024. jalshakti-dowr.gov.in</t>
  </si>
  <si>
    <t xml:space="preserve">National Headline Indicators</t>
  </si>
  <si>
    <t xml:space="preserve">Total Annual Groundwater Recharge (BCM)</t>
  </si>
  <si>
    <t xml:space="preserve">Annual Extractable Groundwater Resource (BCM)</t>
  </si>
  <si>
    <t xml:space="preserve">Total Annual Extraction — All Uses (BCM)</t>
  </si>
  <si>
    <t xml:space="preserve">National Stage of Groundwater Extraction (%)</t>
  </si>
  <si>
    <t xml:space="preserve">Total Assessment Units (Blocks/Mandals/Talukas)</t>
  </si>
  <si>
    <t xml:space="preserve">Safe Units</t>
  </si>
  <si>
    <t xml:space="preserve">4951 (73.4%)</t>
  </si>
  <si>
    <t xml:space="preserve">Semi-Critical Units</t>
  </si>
  <si>
    <t xml:space="preserve">711 (10.5%)</t>
  </si>
  <si>
    <t xml:space="preserve">Critical Units</t>
  </si>
  <si>
    <t xml:space="preserve">206 (3.1%)</t>
  </si>
  <si>
    <t xml:space="preserve">Over-Exploited Units</t>
  </si>
  <si>
    <t xml:space="preserve">751 (11.1%)</t>
  </si>
  <si>
    <t xml:space="preserve">Saline Units</t>
  </si>
  <si>
    <t xml:space="preserve">127 (1.9%)</t>
  </si>
  <si>
    <t xml:space="preserve">Key Observations</t>
  </si>
  <si>
    <t xml:space="preserve">• Punjab, Rajasthan, Haryana and Delhi extract more groundwater annually than is naturally replenished (stage of extraction &gt;100%).</t>
  </si>
  <si>
    <t xml:space="preserve">• Over-exploitation is concentrated in the North-West (Punjab, Haryana, Delhi, W. Uttar Pradesh) and West/South pockets (Rajasthan, Gujarat, Karnataka, Tamil Nadu, Telangana, Andhra Pradesh).</t>
  </si>
  <si>
    <t xml:space="preserve">• North-Eastern states (Arunachal Pradesh, Assam, Meghalaya, Mizoram, Nagaland, Sikkim, Tripura) and Himalayan states remain overwhelmingly 'Safe', with extraction stage under 15%.</t>
  </si>
  <si>
    <t xml:space="preserve">• Nationally, the Safe-category share rose from 62.6% (2017) to 73.4% (2024); Over-Exploited units fell from 17.2% to 11.1% over the same period.</t>
  </si>
  <si>
    <t xml:space="preserve">• Irrigation accounts for 213.3 of 245.6 BCM (~87%) of total annual groundwater extraction nationally.</t>
  </si>
  <si>
    <t xml:space="preserve">Sl. No</t>
  </si>
  <si>
    <t xml:space="preserve">Name of State/UT</t>
  </si>
  <si>
    <t xml:space="preserve">Monsoon season recharge from rainfall (bcm)</t>
  </si>
  <si>
    <t xml:space="preserve">Monsoon season recharge from other sources</t>
  </si>
  <si>
    <t xml:space="preserve">Non-monsoon season recharge from rainfall</t>
  </si>
  <si>
    <t xml:space="preserve">Non-monsoon season recharge from other sources</t>
  </si>
  <si>
    <t xml:space="preserve">Total annual groundwater recharge</t>
  </si>
  <si>
    <t xml:space="preserve">Total Natural Discharges</t>
  </si>
  <si>
    <t xml:space="preserve">Annual Extractable Groundwater Resource</t>
  </si>
  <si>
    <t xml:space="preserve">Irrigation - Annual extraction</t>
  </si>
  <si>
    <t xml:space="preserve">Industrial - Annual extraction</t>
  </si>
  <si>
    <t xml:space="preserve">Domestic - Annual Extraction</t>
  </si>
  <si>
    <t xml:space="preserve">Total Annual Extraction</t>
  </si>
  <si>
    <t xml:space="preserve">Annual GW Allocation for domestic use (2025)</t>
  </si>
  <si>
    <t xml:space="preserve">Net GW availability for future</t>
  </si>
  <si>
    <t xml:space="preserve">Stage of GW extraction (%)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</si>
  <si>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</si>
  <si>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</si>
  <si>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</si>
  <si>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</si>
  <si>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</si>
  <si>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Goa</t>
  </si>
  <si>
    <t xml:space="preserve">Gujarat</t>
  </si>
  <si>
    <t xml:space="preserve">Haryana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</si>
  <si>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</si>
  <si>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</si>
  <si>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</si>
  <si>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</si>
  <si>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</si>
  <si>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</si>
  <si>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</si>
  <si>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</si>
  <si>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</si>
  <si>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</si>
  <si>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</si>
  <si>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</si>
  <si>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</si>
  <si>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</si>
  <si>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</si>
  <si>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</si>
  <si>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</si>
  <si>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</si>
  <si>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</si>
  <si>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</si>
  <si>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Andaman And Nicobar</t>
  </si>
  <si>
    <t xml:space="preserve">Chandigarh</t>
  </si>
  <si>
    <t xml:space="preserve">Dadra and Nagar Haveli and Daman and Diu</t>
  </si>
  <si>
    <t xml:space="preserve">Delhi</t>
  </si>
  <si>
    <t xml:space="preserve">Jammu And Kashmir</t>
  </si>
  <si>
    <t xml:space="preserve">Ladakh</t>
  </si>
  <si>
    <t xml:space="preserve">Lakshadweep</t>
  </si>
  <si>
    <t xml:space="preserve">Puducherry</t>
  </si>
  <si>
    <t xml:space="preserve">Grand Total (India)</t>
  </si>
  <si>
    <t xml:space="preserve">State/UT</t>
  </si>
  <si>
    <t xml:space="preserve">Stage of GW Extraction (%)</t>
  </si>
  <si>
    <t xml:space="preserve">S. No</t>
  </si>
  <si>
    <t xml:space="preserve">Total no. of asssessed blocks</t>
  </si>
  <si>
    <t xml:space="preserve">Safe nos.</t>
  </si>
  <si>
    <t xml:space="preserve">Safe %</t>
  </si>
  <si>
    <t xml:space="preserve">Semi-Critical Nos</t>
  </si>
  <si>
    <t xml:space="preserve">Semi-Critical %</t>
  </si>
  <si>
    <t xml:space="preserve">Critical nos</t>
  </si>
  <si>
    <t xml:space="preserve">Critical %</t>
  </si>
  <si>
    <t xml:space="preserve">Over-exploited</t>
  </si>
  <si>
    <t xml:space="preserve">Over-exploited %</t>
  </si>
  <si>
    <t xml:space="preserve">Saline nos.</t>
  </si>
  <si>
    <t xml:space="preserve">Saline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</si>
</sst>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AF1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AF1F4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4A460"/>
      <rgbColor rgb="FFFF6600"/>
      <rgbColor rgb="FF666666"/>
      <rgbColor rgb="FF969696"/>
      <rgbColor rgb="FF1F4E5F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Stage of Groundwater Extraction by State/UT (%)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 - Stage %'!B1</c:f>
              <c:strCache>
                <c:ptCount val="1"/>
                <c:pt idx="0">
                  <c:v>Stage of GW Extraction (%)</c:v>
                </c:pt>
              </c:strCache>
            </c:strRef>
          </c:tx>
          <c:spPr>
            <a:solidFill>
              <a:srgbClr val="2e86a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 - Stage %'!$A$2:$A$37</c:f>
              <c:strCache>
                <c:ptCount val="36"/>
                <c:pt idx="0">
                  <c:v>Punjab</c:v>
                </c:pt>
                <c:pt idx="1">
                  <c:v>Rajasthan</c:v>
                </c:pt>
                <c:pt idx="2">
                  <c:v>Dadra and Nagar Haveli and Daman and Diu</c:v>
                </c:pt>
                <c:pt idx="3">
                  <c:v>Haryana</c:v>
                </c:pt>
                <c:pt idx="4">
                  <c:v>Delhi</c:v>
                </c:pt>
                <c:pt idx="5">
                  <c:v>Puducherry</c:v>
                </c:pt>
                <c:pt idx="6">
                  <c:v>Tamil Nadu</c:v>
                </c:pt>
                <c:pt idx="7">
                  <c:v>Uttar Pradesh</c:v>
                </c:pt>
                <c:pt idx="8">
                  <c:v>Karnataka</c:v>
                </c:pt>
                <c:pt idx="9">
                  <c:v>Chandigarh</c:v>
                </c:pt>
                <c:pt idx="10">
                  <c:v>Lakshadweep</c:v>
                </c:pt>
                <c:pt idx="11">
                  <c:v>Madhya Pradesh</c:v>
                </c:pt>
                <c:pt idx="12">
                  <c:v>Gujarat</c:v>
                </c:pt>
                <c:pt idx="13">
                  <c:v>Kerala</c:v>
                </c:pt>
                <c:pt idx="14">
                  <c:v>Uttarakhand</c:v>
                </c:pt>
                <c:pt idx="15">
                  <c:v>Maharashtra</c:v>
                </c:pt>
                <c:pt idx="16">
                  <c:v>Odisha</c:v>
                </c:pt>
                <c:pt idx="17">
                  <c:v>Chhattisgarh</c:v>
                </c:pt>
                <c:pt idx="18">
                  <c:v>Telangana</c:v>
                </c:pt>
                <c:pt idx="19">
                  <c:v>West Bengal</c:v>
                </c:pt>
                <c:pt idx="20">
                  <c:v>Bihar</c:v>
                </c:pt>
                <c:pt idx="21">
                  <c:v>Himachal Pradesh</c:v>
                </c:pt>
                <c:pt idx="22">
                  <c:v>Jharkhand</c:v>
                </c:pt>
                <c:pt idx="23">
                  <c:v>Ladakh</c:v>
                </c:pt>
                <c:pt idx="24">
                  <c:v>Andhra Pradesh</c:v>
                </c:pt>
                <c:pt idx="25">
                  <c:v>Goa</c:v>
                </c:pt>
                <c:pt idx="26">
                  <c:v>Jammu And Kashmir</c:v>
                </c:pt>
                <c:pt idx="27">
                  <c:v>Assam</c:v>
                </c:pt>
                <c:pt idx="28">
                  <c:v>Tripura</c:v>
                </c:pt>
                <c:pt idx="29">
                  <c:v>Manipur</c:v>
                </c:pt>
                <c:pt idx="30">
                  <c:v>Sikkim</c:v>
                </c:pt>
                <c:pt idx="31">
                  <c:v>Nagaland</c:v>
                </c:pt>
                <c:pt idx="32">
                  <c:v>Meghalaya</c:v>
                </c:pt>
                <c:pt idx="33">
                  <c:v>Mizoram</c:v>
                </c:pt>
                <c:pt idx="34">
                  <c:v>Andaman And Nicobar</c:v>
                </c:pt>
                <c:pt idx="35">
                  <c:v>Arunachal Pradesh</c:v>
                </c:pt>
              </c:strCache>
            </c:strRef>
          </c:cat>
          <c:val>
            <c:numRef>
              <c:f>'Chart Data - Stage %'!$B$2:$B$37</c:f>
              <c:numCache>
                <c:formatCode>General</c:formatCode>
                <c:ptCount val="36"/>
                <c:pt idx="0">
                  <c:v>156.87</c:v>
                </c:pt>
                <c:pt idx="1">
                  <c:v>149.86</c:v>
                </c:pt>
                <c:pt idx="2">
                  <c:v>142.17</c:v>
                </c:pt>
                <c:pt idx="3">
                  <c:v>135.96</c:v>
                </c:pt>
                <c:pt idx="4">
                  <c:v>100.77</c:v>
                </c:pt>
                <c:pt idx="5">
                  <c:v>75.91</c:v>
                </c:pt>
                <c:pt idx="6">
                  <c:v>74.26</c:v>
                </c:pt>
                <c:pt idx="7">
                  <c:v>70.45</c:v>
                </c:pt>
                <c:pt idx="8">
                  <c:v>68.44</c:v>
                </c:pt>
                <c:pt idx="9">
                  <c:v>66.13</c:v>
                </c:pt>
                <c:pt idx="10">
                  <c:v>61.32</c:v>
                </c:pt>
                <c:pt idx="11">
                  <c:v>58.4</c:v>
                </c:pt>
                <c:pt idx="12">
                  <c:v>54.21</c:v>
                </c:pt>
                <c:pt idx="13">
                  <c:v>53.78</c:v>
                </c:pt>
                <c:pt idx="14">
                  <c:v>53.54</c:v>
                </c:pt>
                <c:pt idx="15">
                  <c:v>52.99</c:v>
                </c:pt>
                <c:pt idx="16">
                  <c:v>48.23</c:v>
                </c:pt>
                <c:pt idx="17">
                  <c:v>47.32</c:v>
                </c:pt>
                <c:pt idx="18">
                  <c:v>45.91</c:v>
                </c:pt>
                <c:pt idx="19">
                  <c:v>45.63</c:v>
                </c:pt>
                <c:pt idx="20">
                  <c:v>45.54</c:v>
                </c:pt>
                <c:pt idx="21">
                  <c:v>35.48</c:v>
                </c:pt>
                <c:pt idx="22">
                  <c:v>31.43</c:v>
                </c:pt>
                <c:pt idx="23">
                  <c:v>30.93</c:v>
                </c:pt>
                <c:pt idx="24">
                  <c:v>29.83</c:v>
                </c:pt>
                <c:pt idx="25">
                  <c:v>22.91</c:v>
                </c:pt>
                <c:pt idx="26">
                  <c:v>22.28</c:v>
                </c:pt>
                <c:pt idx="27">
                  <c:v>12.61</c:v>
                </c:pt>
                <c:pt idx="28">
                  <c:v>9.48</c:v>
                </c:pt>
                <c:pt idx="29">
                  <c:v>8</c:v>
                </c:pt>
                <c:pt idx="30">
                  <c:v>5.85</c:v>
                </c:pt>
                <c:pt idx="31">
                  <c:v>4.72</c:v>
                </c:pt>
                <c:pt idx="32">
                  <c:v>4.6</c:v>
                </c:pt>
                <c:pt idx="33">
                  <c:v>3.95</c:v>
                </c:pt>
                <c:pt idx="34">
                  <c:v>2.08</c:v>
                </c:pt>
                <c:pt idx="35">
                  <c:v>0.39</c:v>
                </c:pt>
              </c:numCache>
            </c:numRef>
          </c:val>
        </c:ser>
        <c:gapWidth val="150"/>
        <c:overlap val="0"/>
        <c:axId val="36536069"/>
        <c:axId val="9442062"/>
      </c:barChart>
      <c:catAx>
        <c:axId val="3653606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Stage of Extraction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2062"/>
        <c:crosses val="autoZero"/>
        <c:auto val="1"/>
        <c:lblAlgn val="ctr"/>
        <c:lblOffset val="100"/>
        <c:noMultiLvlLbl val="0"/>
      </c:catAx>
      <c:valAx>
        <c:axId val="9442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State/UT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36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Assessment Unit Categorisation — 15 Most Stressed States/UTs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'Chart Data - Categorisation'!B1</c:f>
              <c:strCache>
                <c:ptCount val="1"/>
                <c:pt idx="0">
                  <c:v>Safe %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 - Categorisation'!$A$2:$A$16</c:f>
              <c:strCache>
                <c:ptCount val="15"/>
                <c:pt idx="0">
                  <c:v>Dadra and Nagar Haveli and Daman and Diu</c:v>
                </c:pt>
                <c:pt idx="1">
                  <c:v>Punjab</c:v>
                </c:pt>
                <c:pt idx="2">
                  <c:v>Rajasthan</c:v>
                </c:pt>
                <c:pt idx="3">
                  <c:v>Haryana</c:v>
                </c:pt>
                <c:pt idx="4">
                  <c:v>Delhi</c:v>
                </c:pt>
                <c:pt idx="5">
                  <c:v>Tamil Nadu</c:v>
                </c:pt>
                <c:pt idx="6">
                  <c:v>Karnataka</c:v>
                </c:pt>
                <c:pt idx="7">
                  <c:v>Ladakh</c:v>
                </c:pt>
                <c:pt idx="8">
                  <c:v>Gujarat</c:v>
                </c:pt>
                <c:pt idx="9">
                  <c:v>Madhya Pradesh</c:v>
                </c:pt>
                <c:pt idx="10">
                  <c:v>Uttar Pradesh</c:v>
                </c:pt>
                <c:pt idx="11">
                  <c:v>Telangana</c:v>
                </c:pt>
                <c:pt idx="12">
                  <c:v>Maharashtra</c:v>
                </c:pt>
                <c:pt idx="13">
                  <c:v>Jharkhand</c:v>
                </c:pt>
                <c:pt idx="14">
                  <c:v>Andhra Pradesh</c:v>
                </c:pt>
              </c:strCache>
            </c:strRef>
          </c:cat>
          <c:val>
            <c:numRef>
              <c:f>'Chart Data - Categorisation'!$B$2:$B$16</c:f>
              <c:numCache>
                <c:formatCode>General</c:formatCode>
                <c:ptCount val="15"/>
                <c:pt idx="0">
                  <c:v>0</c:v>
                </c:pt>
                <c:pt idx="1">
                  <c:v>14.38</c:v>
                </c:pt>
                <c:pt idx="2">
                  <c:v>12.25</c:v>
                </c:pt>
                <c:pt idx="3">
                  <c:v>25.17</c:v>
                </c:pt>
                <c:pt idx="4">
                  <c:v>14.71</c:v>
                </c:pt>
                <c:pt idx="5">
                  <c:v>40.58</c:v>
                </c:pt>
                <c:pt idx="6">
                  <c:v>60.76</c:v>
                </c:pt>
                <c:pt idx="7">
                  <c:v>37.5</c:v>
                </c:pt>
                <c:pt idx="8">
                  <c:v>73.02</c:v>
                </c:pt>
                <c:pt idx="9">
                  <c:v>70.98</c:v>
                </c:pt>
                <c:pt idx="10">
                  <c:v>67.7</c:v>
                </c:pt>
                <c:pt idx="11">
                  <c:v>79.03</c:v>
                </c:pt>
                <c:pt idx="12">
                  <c:v>84.12</c:v>
                </c:pt>
                <c:pt idx="13">
                  <c:v>91.25</c:v>
                </c:pt>
                <c:pt idx="14">
                  <c:v>87</c:v>
                </c:pt>
              </c:numCache>
            </c:numRef>
          </c:val>
        </c:ser>
        <c:ser>
          <c:idx val="1"/>
          <c:order val="1"/>
          <c:tx>
            <c:strRef>
              <c:f>'Chart Data - Categorisation'!C1</c:f>
              <c:strCache>
                <c:ptCount val="1"/>
                <c:pt idx="0">
                  <c:v>Semi-Critical %</c:v>
                </c:pt>
              </c:strCache>
            </c:strRef>
          </c:tx>
          <c:spPr>
            <a:solidFill>
              <a:srgbClr val="ffeb8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 - Categorisation'!$A$2:$A$16</c:f>
              <c:strCache>
                <c:ptCount val="15"/>
                <c:pt idx="0">
                  <c:v>Dadra and Nagar Haveli and Daman and Diu</c:v>
                </c:pt>
                <c:pt idx="1">
                  <c:v>Punjab</c:v>
                </c:pt>
                <c:pt idx="2">
                  <c:v>Rajasthan</c:v>
                </c:pt>
                <c:pt idx="3">
                  <c:v>Haryana</c:v>
                </c:pt>
                <c:pt idx="4">
                  <c:v>Delhi</c:v>
                </c:pt>
                <c:pt idx="5">
                  <c:v>Tamil Nadu</c:v>
                </c:pt>
                <c:pt idx="6">
                  <c:v>Karnataka</c:v>
                </c:pt>
                <c:pt idx="7">
                  <c:v>Ladakh</c:v>
                </c:pt>
                <c:pt idx="8">
                  <c:v>Gujarat</c:v>
                </c:pt>
                <c:pt idx="9">
                  <c:v>Madhya Pradesh</c:v>
                </c:pt>
                <c:pt idx="10">
                  <c:v>Uttar Pradesh</c:v>
                </c:pt>
                <c:pt idx="11">
                  <c:v>Telangana</c:v>
                </c:pt>
                <c:pt idx="12">
                  <c:v>Maharashtra</c:v>
                </c:pt>
                <c:pt idx="13">
                  <c:v>Jharkhand</c:v>
                </c:pt>
                <c:pt idx="14">
                  <c:v>Andhra Pradesh</c:v>
                </c:pt>
              </c:strCache>
            </c:strRef>
          </c:cat>
          <c:val>
            <c:numRef>
              <c:f>'Chart Data - Categorisation'!$C$2:$C$16</c:f>
              <c:numCache>
                <c:formatCode>General</c:formatCode>
                <c:ptCount val="15"/>
                <c:pt idx="0">
                  <c:v>0</c:v>
                </c:pt>
                <c:pt idx="1">
                  <c:v>7.84</c:v>
                </c:pt>
                <c:pt idx="2">
                  <c:v>6.95</c:v>
                </c:pt>
                <c:pt idx="3">
                  <c:v>5.59</c:v>
                </c:pt>
                <c:pt idx="4">
                  <c:v>5.88</c:v>
                </c:pt>
                <c:pt idx="5">
                  <c:v>17.57</c:v>
                </c:pt>
                <c:pt idx="6">
                  <c:v>13.92</c:v>
                </c:pt>
                <c:pt idx="7">
                  <c:v>37.5</c:v>
                </c:pt>
                <c:pt idx="8">
                  <c:v>9.52</c:v>
                </c:pt>
                <c:pt idx="9">
                  <c:v>19.24</c:v>
                </c:pt>
                <c:pt idx="10">
                  <c:v>19.74</c:v>
                </c:pt>
                <c:pt idx="11">
                  <c:v>13.71</c:v>
                </c:pt>
                <c:pt idx="12">
                  <c:v>11.42</c:v>
                </c:pt>
                <c:pt idx="13">
                  <c:v>4.56</c:v>
                </c:pt>
                <c:pt idx="14">
                  <c:v>5.6</c:v>
                </c:pt>
              </c:numCache>
            </c:numRef>
          </c:val>
        </c:ser>
        <c:ser>
          <c:idx val="2"/>
          <c:order val="2"/>
          <c:tx>
            <c:strRef>
              <c:f>'Chart Data - Categorisation'!D1</c:f>
              <c:strCache>
                <c:ptCount val="1"/>
                <c:pt idx="0">
                  <c:v>Critical %</c:v>
                </c:pt>
              </c:strCache>
            </c:strRef>
          </c:tx>
          <c:spPr>
            <a:solidFill>
              <a:srgbClr val="f4a46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 - Categorisation'!$A$2:$A$16</c:f>
              <c:strCache>
                <c:ptCount val="15"/>
                <c:pt idx="0">
                  <c:v>Dadra and Nagar Haveli and Daman and Diu</c:v>
                </c:pt>
                <c:pt idx="1">
                  <c:v>Punjab</c:v>
                </c:pt>
                <c:pt idx="2">
                  <c:v>Rajasthan</c:v>
                </c:pt>
                <c:pt idx="3">
                  <c:v>Haryana</c:v>
                </c:pt>
                <c:pt idx="4">
                  <c:v>Delhi</c:v>
                </c:pt>
                <c:pt idx="5">
                  <c:v>Tamil Nadu</c:v>
                </c:pt>
                <c:pt idx="6">
                  <c:v>Karnataka</c:v>
                </c:pt>
                <c:pt idx="7">
                  <c:v>Ladakh</c:v>
                </c:pt>
                <c:pt idx="8">
                  <c:v>Gujarat</c:v>
                </c:pt>
                <c:pt idx="9">
                  <c:v>Madhya Pradesh</c:v>
                </c:pt>
                <c:pt idx="10">
                  <c:v>Uttar Pradesh</c:v>
                </c:pt>
                <c:pt idx="11">
                  <c:v>Telangana</c:v>
                </c:pt>
                <c:pt idx="12">
                  <c:v>Maharashtra</c:v>
                </c:pt>
                <c:pt idx="13">
                  <c:v>Jharkhand</c:v>
                </c:pt>
                <c:pt idx="14">
                  <c:v>Andhra Pradesh</c:v>
                </c:pt>
              </c:strCache>
            </c:strRef>
          </c:cat>
          <c:val>
            <c:numRef>
              <c:f>'Chart Data - Categorisation'!$D$2:$D$16</c:f>
              <c:numCache>
                <c:formatCode>General</c:formatCode>
                <c:ptCount val="15"/>
                <c:pt idx="0">
                  <c:v>0</c:v>
                </c:pt>
                <c:pt idx="1">
                  <c:v>2.61</c:v>
                </c:pt>
                <c:pt idx="2">
                  <c:v>8.94</c:v>
                </c:pt>
                <c:pt idx="3">
                  <c:v>7.69</c:v>
                </c:pt>
                <c:pt idx="4">
                  <c:v>38.24</c:v>
                </c:pt>
                <c:pt idx="5">
                  <c:v>6.39</c:v>
                </c:pt>
                <c:pt idx="6">
                  <c:v>6.33</c:v>
                </c:pt>
                <c:pt idx="7">
                  <c:v>0</c:v>
                </c:pt>
                <c:pt idx="8">
                  <c:v>3.97</c:v>
                </c:pt>
                <c:pt idx="9">
                  <c:v>1.58</c:v>
                </c:pt>
                <c:pt idx="10">
                  <c:v>5.5</c:v>
                </c:pt>
                <c:pt idx="11">
                  <c:v>2.1</c:v>
                </c:pt>
                <c:pt idx="12">
                  <c:v>1.95</c:v>
                </c:pt>
                <c:pt idx="13">
                  <c:v>2.28</c:v>
                </c:pt>
                <c:pt idx="14">
                  <c:v>0.3</c:v>
                </c:pt>
              </c:numCache>
            </c:numRef>
          </c:val>
        </c:ser>
        <c:ser>
          <c:idx val="3"/>
          <c:order val="3"/>
          <c:tx>
            <c:strRef>
              <c:f>'Chart Data - Categorisation'!E1</c:f>
              <c:strCache>
                <c:ptCount val="1"/>
                <c:pt idx="0">
                  <c:v>Over-exploited %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 - Categorisation'!$A$2:$A$16</c:f>
              <c:strCache>
                <c:ptCount val="15"/>
                <c:pt idx="0">
                  <c:v>Dadra and Nagar Haveli and Daman and Diu</c:v>
                </c:pt>
                <c:pt idx="1">
                  <c:v>Punjab</c:v>
                </c:pt>
                <c:pt idx="2">
                  <c:v>Rajasthan</c:v>
                </c:pt>
                <c:pt idx="3">
                  <c:v>Haryana</c:v>
                </c:pt>
                <c:pt idx="4">
                  <c:v>Delhi</c:v>
                </c:pt>
                <c:pt idx="5">
                  <c:v>Tamil Nadu</c:v>
                </c:pt>
                <c:pt idx="6">
                  <c:v>Karnataka</c:v>
                </c:pt>
                <c:pt idx="7">
                  <c:v>Ladakh</c:v>
                </c:pt>
                <c:pt idx="8">
                  <c:v>Gujarat</c:v>
                </c:pt>
                <c:pt idx="9">
                  <c:v>Madhya Pradesh</c:v>
                </c:pt>
                <c:pt idx="10">
                  <c:v>Uttar Pradesh</c:v>
                </c:pt>
                <c:pt idx="11">
                  <c:v>Telangana</c:v>
                </c:pt>
                <c:pt idx="12">
                  <c:v>Maharashtra</c:v>
                </c:pt>
                <c:pt idx="13">
                  <c:v>Jharkhand</c:v>
                </c:pt>
                <c:pt idx="14">
                  <c:v>Andhra Pradesh</c:v>
                </c:pt>
              </c:strCache>
            </c:strRef>
          </c:cat>
          <c:val>
            <c:numRef>
              <c:f>'Chart Data - Categorisation'!$E$2:$E$16</c:f>
              <c:numCache>
                <c:formatCode>General</c:formatCode>
                <c:ptCount val="15"/>
                <c:pt idx="0">
                  <c:v>100</c:v>
                </c:pt>
                <c:pt idx="1">
                  <c:v>75.16</c:v>
                </c:pt>
                <c:pt idx="2">
                  <c:v>70.86</c:v>
                </c:pt>
                <c:pt idx="3">
                  <c:v>61.54</c:v>
                </c:pt>
                <c:pt idx="4">
                  <c:v>41.18</c:v>
                </c:pt>
                <c:pt idx="5">
                  <c:v>33.87</c:v>
                </c:pt>
                <c:pt idx="6">
                  <c:v>18.99</c:v>
                </c:pt>
                <c:pt idx="7">
                  <c:v>12.5</c:v>
                </c:pt>
                <c:pt idx="8">
                  <c:v>8.73</c:v>
                </c:pt>
                <c:pt idx="9">
                  <c:v>8.2</c:v>
                </c:pt>
                <c:pt idx="10">
                  <c:v>7.06</c:v>
                </c:pt>
                <c:pt idx="11">
                  <c:v>5.16</c:v>
                </c:pt>
                <c:pt idx="12">
                  <c:v>2.23</c:v>
                </c:pt>
                <c:pt idx="13">
                  <c:v>1.9</c:v>
                </c:pt>
                <c:pt idx="14">
                  <c:v>1.3</c:v>
                </c:pt>
              </c:numCache>
            </c:numRef>
          </c:val>
        </c:ser>
        <c:gapWidth val="150"/>
        <c:overlap val="100"/>
        <c:axId val="88037075"/>
        <c:axId val="82248700"/>
      </c:barChart>
      <c:catAx>
        <c:axId val="88037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48700"/>
        <c:crosses val="autoZero"/>
        <c:auto val="1"/>
        <c:lblAlgn val="ctr"/>
        <c:lblOffset val="100"/>
        <c:noMultiLvlLbl val="0"/>
      </c:catAx>
      <c:valAx>
        <c:axId val="82248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37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190440</xdr:rowOff>
    </xdr:from>
    <xdr:to>
      <xdr:col>18</xdr:col>
      <xdr:colOff>187200</xdr:colOff>
      <xdr:row>38</xdr:row>
      <xdr:rowOff>38520</xdr:rowOff>
    </xdr:to>
    <xdr:graphicFrame>
      <xdr:nvGraphicFramePr>
        <xdr:cNvPr id="0" name="Chart 1"/>
        <xdr:cNvGraphicFramePr/>
      </xdr:nvGraphicFramePr>
      <xdr:xfrm>
        <a:off x="4276800" y="190440"/>
        <a:ext cx="9359640" cy="71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21</xdr:col>
      <xdr:colOff>187200</xdr:colOff>
      <xdr:row>38</xdr:row>
      <xdr:rowOff>151200</xdr:rowOff>
    </xdr:to>
    <xdr:graphicFrame>
      <xdr:nvGraphicFramePr>
        <xdr:cNvPr id="1" name="Chart 1"/>
        <xdr:cNvGraphicFramePr/>
      </xdr:nvGraphicFramePr>
      <xdr:xfrm>
        <a:off x="6250320" y="190440"/>
        <a:ext cx="9359640" cy="71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446.9</v>
      </c>
    </row>
    <row r="6" customFormat="false" ht="15" hidden="false" customHeight="false" outlineLevel="0" collapsed="false">
      <c r="A6" s="4" t="s">
        <v>4</v>
      </c>
      <c r="B6" s="5" t="n">
        <v>406.19</v>
      </c>
    </row>
    <row r="7" customFormat="false" ht="15" hidden="false" customHeight="false" outlineLevel="0" collapsed="false">
      <c r="A7" s="4" t="s">
        <v>5</v>
      </c>
      <c r="B7" s="5" t="n">
        <v>245.65</v>
      </c>
    </row>
    <row r="8" customFormat="false" ht="15" hidden="false" customHeight="false" outlineLevel="0" collapsed="false">
      <c r="A8" s="4" t="s">
        <v>6</v>
      </c>
      <c r="B8" s="5" t="n">
        <v>60.47</v>
      </c>
    </row>
    <row r="9" customFormat="false" ht="15" hidden="false" customHeight="false" outlineLevel="0" collapsed="false">
      <c r="A9" s="4" t="s">
        <v>7</v>
      </c>
      <c r="B9" s="5" t="n">
        <v>6746</v>
      </c>
    </row>
    <row r="10" customFormat="false" ht="15" hidden="false" customHeight="false" outlineLevel="0" collapsed="false">
      <c r="A10" s="4" t="s">
        <v>8</v>
      </c>
      <c r="B10" s="5" t="s">
        <v>9</v>
      </c>
    </row>
    <row r="11" customFormat="false" ht="15" hidden="false" customHeight="false" outlineLevel="0" collapsed="false">
      <c r="A11" s="4" t="s">
        <v>10</v>
      </c>
      <c r="B11" s="5" t="s">
        <v>11</v>
      </c>
    </row>
    <row r="12" customFormat="false" ht="15" hidden="false" customHeight="false" outlineLevel="0" collapsed="false">
      <c r="A12" s="4" t="s">
        <v>12</v>
      </c>
      <c r="B12" s="5" t="s">
        <v>13</v>
      </c>
    </row>
    <row r="13" customFormat="false" ht="15" hidden="false" customHeight="false" outlineLevel="0" collapsed="false">
      <c r="A13" s="4" t="s">
        <v>14</v>
      </c>
      <c r="B13" s="5" t="s">
        <v>15</v>
      </c>
    </row>
    <row r="14" customFormat="false" ht="15" hidden="false" customHeight="false" outlineLevel="0" collapsed="false">
      <c r="A14" s="4" t="s">
        <v>16</v>
      </c>
      <c r="B14" s="5" t="s">
        <v>17</v>
      </c>
    </row>
    <row r="16" customFormat="false" ht="15" hidden="false" customHeight="false" outlineLevel="0" collapsed="false">
      <c r="A16" s="3" t="s">
        <v>18</v>
      </c>
    </row>
    <row r="17" customFormat="false" ht="15" hidden="false" customHeight="true" outlineLevel="0" collapsed="false">
      <c r="A17" s="6" t="s">
        <v>19</v>
      </c>
      <c r="B17" s="6"/>
      <c r="C17" s="6"/>
      <c r="D17" s="6"/>
      <c r="E17" s="6"/>
      <c r="F17" s="6"/>
      <c r="G17" s="6"/>
      <c r="H17" s="6"/>
    </row>
    <row r="18" customFormat="false" ht="15" hidden="false" customHeight="true" outlineLevel="0" collapsed="false">
      <c r="A18" s="6" t="s">
        <v>20</v>
      </c>
      <c r="B18" s="6"/>
      <c r="C18" s="6"/>
      <c r="D18" s="6"/>
      <c r="E18" s="6"/>
      <c r="F18" s="6"/>
      <c r="G18" s="6"/>
      <c r="H18" s="6"/>
    </row>
    <row r="19" customFormat="false" ht="15" hidden="false" customHeight="true" outlineLevel="0" collapsed="false">
      <c r="A19" s="6" t="s">
        <v>21</v>
      </c>
      <c r="B19" s="6"/>
      <c r="C19" s="6"/>
      <c r="D19" s="6"/>
      <c r="E19" s="6"/>
      <c r="F19" s="6"/>
      <c r="G19" s="6"/>
      <c r="H19" s="6"/>
    </row>
    <row r="20" customFormat="false" ht="15" hidden="false" customHeight="true" outlineLevel="0" collapsed="false">
      <c r="A20" s="6" t="s">
        <v>22</v>
      </c>
      <c r="B20" s="6"/>
      <c r="C20" s="6"/>
      <c r="D20" s="6"/>
      <c r="E20" s="6"/>
      <c r="F20" s="6"/>
      <c r="G20" s="6"/>
      <c r="H20" s="6"/>
    </row>
    <row r="21" customFormat="false" ht="15" hidden="false" customHeight="true" outlineLevel="0" collapsed="false">
      <c r="A21" s="6" t="s">
        <v>23</v>
      </c>
      <c r="B21" s="6"/>
      <c r="C21" s="6"/>
      <c r="D21" s="6"/>
      <c r="E21" s="6"/>
      <c r="F21" s="6"/>
      <c r="G21" s="6"/>
      <c r="H21" s="6"/>
    </row>
  </sheetData>
  <mergeCells count="6">
    <mergeCell ref="A2:H2"/>
    <mergeCell ref="A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16" min="3" style="0" width="15"/>
  </cols>
  <sheetData>
    <row r="1" customFormat="false" ht="4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39</v>
      </c>
    </row>
    <row r="2" customFormat="false" ht="15" hidden="false" customHeight="false" outlineLevel="0" collapsed="false">
      <c r="A2" s="8" t="n">
        <v>1</v>
      </c>
      <c r="B2" s="8" t="s">
        <v>40</v>
      </c>
      <c r="C2" s="9" t="n">
        <v>9</v>
      </c>
      <c r="D2" s="9" t="n">
        <v>10.79</v>
      </c>
      <c r="E2" s="9" t="n">
        <v>0.82</v>
      </c>
      <c r="F2" s="9" t="n">
        <v>7.18</v>
      </c>
      <c r="G2" s="9" t="n">
        <v>27.8</v>
      </c>
      <c r="H2" s="9" t="n">
        <v>1.39</v>
      </c>
      <c r="I2" s="9" t="n">
        <v>26.41</v>
      </c>
      <c r="J2" s="9" t="n">
        <v>6.75</v>
      </c>
      <c r="K2" s="9" t="n">
        <v>0.13</v>
      </c>
      <c r="L2" s="9" t="n">
        <v>1</v>
      </c>
      <c r="M2" s="9" t="n">
        <v>7.88</v>
      </c>
      <c r="N2" s="9" t="n">
        <v>1.24</v>
      </c>
      <c r="O2" s="9" t="n">
        <v>18.83</v>
      </c>
      <c r="P2" s="9" t="n">
        <v>29.83</v>
      </c>
    </row>
    <row r="3" customFormat="false" ht="15" hidden="false" customHeight="false" outlineLevel="0" collapsed="false">
      <c r="A3" s="8" t="n">
        <v>2</v>
      </c>
      <c r="B3" s="8" t="s">
        <v>41</v>
      </c>
      <c r="C3" s="9" t="n">
        <v>2.16</v>
      </c>
      <c r="D3" s="9" t="n">
        <v>0.27</v>
      </c>
      <c r="E3" s="9" t="n">
        <v>1.11</v>
      </c>
      <c r="F3" s="9" t="n">
        <v>0.34</v>
      </c>
      <c r="G3" s="9" t="n">
        <v>3.88</v>
      </c>
      <c r="H3" s="9" t="n">
        <v>0.42</v>
      </c>
      <c r="I3" s="9" t="n">
        <v>3.46</v>
      </c>
      <c r="J3" s="9" t="n">
        <v>0.01</v>
      </c>
      <c r="K3" s="9" t="n">
        <v>0</v>
      </c>
      <c r="L3" s="9" t="n">
        <v>0.01</v>
      </c>
      <c r="M3" s="9" t="n">
        <v>0.01</v>
      </c>
      <c r="N3" s="9" t="n">
        <v>0.01</v>
      </c>
      <c r="O3" s="9" t="n">
        <v>3.44</v>
      </c>
      <c r="P3" s="9" t="n">
        <v>0.39</v>
      </c>
    </row>
    <row r="4" customFormat="false" ht="15" hidden="false" customHeight="false" outlineLevel="0" collapsed="false">
      <c r="A4" s="8" t="n">
        <v>3</v>
      </c>
      <c r="B4" s="8" t="s">
        <v>42</v>
      </c>
      <c r="C4" s="9" t="n">
        <v>19.45</v>
      </c>
      <c r="D4" s="9" t="n">
        <v>0.67</v>
      </c>
      <c r="E4" s="9" t="n">
        <v>6.53</v>
      </c>
      <c r="F4" s="9" t="n">
        <v>0.56</v>
      </c>
      <c r="G4" s="9" t="n">
        <v>27.21</v>
      </c>
      <c r="H4" s="9" t="n">
        <v>6.32</v>
      </c>
      <c r="I4" s="9" t="n">
        <v>20.89</v>
      </c>
      <c r="J4" s="9" t="n">
        <v>2.06</v>
      </c>
      <c r="K4" s="9" t="n">
        <v>0.01</v>
      </c>
      <c r="L4" s="9" t="n">
        <v>0.56</v>
      </c>
      <c r="M4" s="9" t="n">
        <v>2.64</v>
      </c>
      <c r="N4" s="9" t="n">
        <v>0.58</v>
      </c>
      <c r="O4" s="9" t="n">
        <v>18.23</v>
      </c>
      <c r="P4" s="9" t="n">
        <v>12.61</v>
      </c>
    </row>
    <row r="5" customFormat="false" ht="15" hidden="false" customHeight="false" outlineLevel="0" collapsed="false">
      <c r="A5" s="8" t="n">
        <v>4</v>
      </c>
      <c r="B5" s="8" t="s">
        <v>43</v>
      </c>
      <c r="C5" s="9" t="n">
        <v>19.54</v>
      </c>
      <c r="D5" s="9" t="n">
        <v>8.05</v>
      </c>
      <c r="E5" s="9" t="n">
        <v>1.14</v>
      </c>
      <c r="F5" s="9" t="n">
        <v>5.42</v>
      </c>
      <c r="G5" s="9" t="n">
        <v>34.15</v>
      </c>
      <c r="H5" s="9" t="n">
        <v>3.19</v>
      </c>
      <c r="I5" s="9" t="n">
        <v>30.95</v>
      </c>
      <c r="J5" s="9" t="n">
        <v>10.21</v>
      </c>
      <c r="K5" s="9" t="n">
        <v>0.4</v>
      </c>
      <c r="L5" s="9" t="n">
        <v>3.48</v>
      </c>
      <c r="M5" s="9" t="n">
        <v>14.1</v>
      </c>
      <c r="N5" s="9" t="n">
        <v>3.76</v>
      </c>
      <c r="O5" s="9" t="n">
        <v>16.7</v>
      </c>
      <c r="P5" s="9" t="n">
        <v>45.54</v>
      </c>
    </row>
    <row r="6" customFormat="false" ht="15" hidden="false" customHeight="false" outlineLevel="0" collapsed="false">
      <c r="A6" s="8" t="n">
        <v>5</v>
      </c>
      <c r="B6" s="8" t="s">
        <v>44</v>
      </c>
      <c r="C6" s="9" t="n">
        <v>8.57</v>
      </c>
      <c r="D6" s="9" t="n">
        <v>3.43</v>
      </c>
      <c r="E6" s="9" t="n">
        <v>0.15</v>
      </c>
      <c r="F6" s="9" t="n">
        <v>2.03</v>
      </c>
      <c r="G6" s="9" t="n">
        <v>14.18</v>
      </c>
      <c r="H6" s="9" t="n">
        <v>1.26</v>
      </c>
      <c r="I6" s="9" t="n">
        <v>12.93</v>
      </c>
      <c r="J6" s="9" t="n">
        <v>5.21</v>
      </c>
      <c r="K6" s="9" t="n">
        <v>0.14</v>
      </c>
      <c r="L6" s="9" t="n">
        <v>0.77</v>
      </c>
      <c r="M6" s="9" t="n">
        <v>6.12</v>
      </c>
      <c r="N6" s="9" t="n">
        <v>0.84</v>
      </c>
      <c r="O6" s="9" t="n">
        <v>6.82</v>
      </c>
      <c r="P6" s="9" t="n">
        <v>47.32</v>
      </c>
    </row>
    <row r="7" customFormat="false" ht="15" hidden="false" customHeight="false" outlineLevel="0" collapsed="false">
      <c r="A7" s="8" t="n">
        <v>6</v>
      </c>
      <c r="B7" s="8" t="s">
        <v>45</v>
      </c>
      <c r="C7" s="9" t="n">
        <v>0.35</v>
      </c>
      <c r="D7" s="9" t="n">
        <v>0.01</v>
      </c>
      <c r="E7" s="9" t="n">
        <v>0</v>
      </c>
      <c r="F7" s="9" t="n">
        <v>0.03</v>
      </c>
      <c r="G7" s="9" t="n">
        <v>0.38</v>
      </c>
      <c r="H7" s="9" t="n">
        <v>0.08</v>
      </c>
      <c r="I7" s="9" t="n">
        <v>0.31</v>
      </c>
      <c r="J7" s="9" t="n">
        <v>0.03</v>
      </c>
      <c r="K7" s="9" t="n">
        <v>0</v>
      </c>
      <c r="L7" s="9" t="n">
        <v>0.04</v>
      </c>
      <c r="M7" s="9" t="n">
        <v>0.07</v>
      </c>
      <c r="N7" s="9" t="n">
        <v>0.04</v>
      </c>
      <c r="O7" s="9" t="n">
        <v>0.24</v>
      </c>
      <c r="P7" s="9" t="n">
        <v>22.91</v>
      </c>
    </row>
    <row r="8" customFormat="false" ht="15" hidden="false" customHeight="false" outlineLevel="0" collapsed="false">
      <c r="A8" s="8" t="n">
        <v>7</v>
      </c>
      <c r="B8" s="8" t="s">
        <v>46</v>
      </c>
      <c r="C8" s="9" t="n">
        <v>19.58</v>
      </c>
      <c r="D8" s="9" t="n">
        <v>2.79</v>
      </c>
      <c r="E8" s="9" t="n">
        <v>0</v>
      </c>
      <c r="F8" s="9" t="n">
        <v>5.21</v>
      </c>
      <c r="G8" s="9" t="n">
        <v>27.58</v>
      </c>
      <c r="H8" s="9" t="n">
        <v>2</v>
      </c>
      <c r="I8" s="9" t="n">
        <v>25.58</v>
      </c>
      <c r="J8" s="9" t="n">
        <v>12.81</v>
      </c>
      <c r="K8" s="9" t="n">
        <v>0.21</v>
      </c>
      <c r="L8" s="9" t="n">
        <v>0.85</v>
      </c>
      <c r="M8" s="9" t="n">
        <v>13.86</v>
      </c>
      <c r="N8" s="9" t="n">
        <v>0.92</v>
      </c>
      <c r="O8" s="9" t="n">
        <v>12.38</v>
      </c>
      <c r="P8" s="9" t="n">
        <v>54.21</v>
      </c>
    </row>
    <row r="9" customFormat="false" ht="15" hidden="false" customHeight="false" outlineLevel="0" collapsed="false">
      <c r="A9" s="8" t="n">
        <v>8</v>
      </c>
      <c r="B9" s="8" t="s">
        <v>47</v>
      </c>
      <c r="C9" s="9" t="n">
        <v>3.26</v>
      </c>
      <c r="D9" s="9" t="n">
        <v>3.51</v>
      </c>
      <c r="E9" s="9" t="n">
        <v>0.67</v>
      </c>
      <c r="F9" s="9" t="n">
        <v>2.86</v>
      </c>
      <c r="G9" s="9" t="n">
        <v>10.32</v>
      </c>
      <c r="H9" s="9" t="n">
        <v>0.96</v>
      </c>
      <c r="I9" s="9" t="n">
        <v>9.36</v>
      </c>
      <c r="J9" s="9" t="n">
        <v>11.47</v>
      </c>
      <c r="K9" s="9" t="n">
        <v>0.58</v>
      </c>
      <c r="L9" s="9" t="n">
        <v>0.67</v>
      </c>
      <c r="M9" s="9" t="n">
        <v>12.72</v>
      </c>
      <c r="N9" s="9" t="n">
        <v>0.68</v>
      </c>
      <c r="O9" s="9" t="n">
        <v>1.1</v>
      </c>
      <c r="P9" s="9" t="n">
        <v>135.96</v>
      </c>
    </row>
    <row r="10" customFormat="false" ht="15" hidden="false" customHeight="false" outlineLevel="0" collapsed="false">
      <c r="A10" s="8" t="n">
        <v>9</v>
      </c>
      <c r="B10" s="8" t="s">
        <v>48</v>
      </c>
      <c r="C10" s="9" t="n">
        <v>0.61</v>
      </c>
      <c r="D10" s="9" t="n">
        <v>0.18</v>
      </c>
      <c r="E10" s="9" t="n">
        <v>0.13</v>
      </c>
      <c r="F10" s="9" t="n">
        <v>0.2</v>
      </c>
      <c r="G10" s="9" t="n">
        <v>1.11</v>
      </c>
      <c r="H10" s="9" t="n">
        <v>0.1</v>
      </c>
      <c r="I10" s="9" t="n">
        <v>1.01</v>
      </c>
      <c r="J10" s="9" t="n">
        <v>0.19</v>
      </c>
      <c r="K10" s="9" t="n">
        <v>0.06</v>
      </c>
      <c r="L10" s="9" t="n">
        <v>0.12</v>
      </c>
      <c r="M10" s="9" t="n">
        <v>0.36</v>
      </c>
      <c r="N10" s="9" t="n">
        <v>0.12</v>
      </c>
      <c r="O10" s="9" t="n">
        <v>0.65</v>
      </c>
      <c r="P10" s="9" t="n">
        <v>35.48</v>
      </c>
    </row>
    <row r="11" customFormat="false" ht="15" hidden="false" customHeight="false" outlineLevel="0" collapsed="false">
      <c r="A11" s="8" t="n">
        <v>10</v>
      </c>
      <c r="B11" s="8" t="s">
        <v>49</v>
      </c>
      <c r="C11" s="9" t="n">
        <v>4.98</v>
      </c>
      <c r="D11" s="9" t="n">
        <v>0.46</v>
      </c>
      <c r="E11" s="9" t="n">
        <v>0.47</v>
      </c>
      <c r="F11" s="9" t="n">
        <v>0.37</v>
      </c>
      <c r="G11" s="9" t="n">
        <v>6.28</v>
      </c>
      <c r="H11" s="9" t="n">
        <v>0.52</v>
      </c>
      <c r="I11" s="9" t="n">
        <v>5.76</v>
      </c>
      <c r="J11" s="9" t="n">
        <v>0.94</v>
      </c>
      <c r="K11" s="9" t="n">
        <v>0.22</v>
      </c>
      <c r="L11" s="9" t="n">
        <v>0.65</v>
      </c>
      <c r="M11" s="9" t="n">
        <v>1.81</v>
      </c>
      <c r="N11" s="9" t="n">
        <v>0.65</v>
      </c>
      <c r="O11" s="9" t="n">
        <v>3.96</v>
      </c>
      <c r="P11" s="9" t="n">
        <v>31.43</v>
      </c>
    </row>
    <row r="12" customFormat="false" ht="15" hidden="false" customHeight="false" outlineLevel="0" collapsed="false">
      <c r="A12" s="8" t="n">
        <v>11</v>
      </c>
      <c r="B12" s="8" t="s">
        <v>50</v>
      </c>
      <c r="C12" s="9" t="n">
        <v>8.79</v>
      </c>
      <c r="D12" s="9" t="n">
        <v>5.01</v>
      </c>
      <c r="E12" s="9" t="n">
        <v>1.23</v>
      </c>
      <c r="F12" s="9" t="n">
        <v>3.7</v>
      </c>
      <c r="G12" s="9" t="n">
        <v>18.74</v>
      </c>
      <c r="H12" s="9" t="n">
        <v>1.86</v>
      </c>
      <c r="I12" s="9" t="n">
        <v>16.88</v>
      </c>
      <c r="J12" s="9" t="n">
        <v>10.15</v>
      </c>
      <c r="K12" s="9" t="n">
        <v>0.19</v>
      </c>
      <c r="L12" s="9" t="n">
        <v>1.22</v>
      </c>
      <c r="M12" s="9" t="n">
        <v>11.55</v>
      </c>
      <c r="N12" s="9" t="n">
        <v>1.28</v>
      </c>
      <c r="O12" s="9" t="n">
        <v>7.1</v>
      </c>
      <c r="P12" s="9" t="n">
        <v>68.44</v>
      </c>
    </row>
    <row r="13" customFormat="false" ht="15" hidden="false" customHeight="false" outlineLevel="0" collapsed="false">
      <c r="A13" s="8" t="n">
        <v>12</v>
      </c>
      <c r="B13" s="8" t="s">
        <v>51</v>
      </c>
      <c r="C13" s="9" t="n">
        <v>4.19</v>
      </c>
      <c r="D13" s="9" t="n">
        <v>0.13</v>
      </c>
      <c r="E13" s="9" t="n">
        <v>0.49</v>
      </c>
      <c r="F13" s="9" t="n">
        <v>0.85</v>
      </c>
      <c r="G13" s="9" t="n">
        <v>5.67</v>
      </c>
      <c r="H13" s="9" t="n">
        <v>0.54</v>
      </c>
      <c r="I13" s="9" t="n">
        <v>5.13</v>
      </c>
      <c r="J13" s="9" t="n">
        <v>1.12</v>
      </c>
      <c r="K13" s="9" t="n">
        <v>0.01</v>
      </c>
      <c r="L13" s="9" t="n">
        <v>1.63</v>
      </c>
      <c r="M13" s="9" t="n">
        <v>2.76</v>
      </c>
      <c r="N13" s="9" t="n">
        <v>2.14</v>
      </c>
      <c r="O13" s="9" t="n">
        <v>2.12</v>
      </c>
      <c r="P13" s="9" t="n">
        <v>53.78</v>
      </c>
    </row>
    <row r="14" customFormat="false" ht="15" hidden="false" customHeight="false" outlineLevel="0" collapsed="false">
      <c r="A14" s="8" t="n">
        <v>13</v>
      </c>
      <c r="B14" s="8" t="s">
        <v>52</v>
      </c>
      <c r="C14" s="9" t="n">
        <v>27</v>
      </c>
      <c r="D14" s="9" t="n">
        <v>1.68</v>
      </c>
      <c r="E14" s="9" t="n">
        <v>0.17</v>
      </c>
      <c r="F14" s="9" t="n">
        <v>7.04</v>
      </c>
      <c r="G14" s="9" t="n">
        <v>35.9</v>
      </c>
      <c r="H14" s="9" t="n">
        <v>1.91</v>
      </c>
      <c r="I14" s="9" t="n">
        <v>33.99</v>
      </c>
      <c r="J14" s="9" t="n">
        <v>17.9</v>
      </c>
      <c r="K14" s="9" t="n">
        <v>0.2</v>
      </c>
      <c r="L14" s="9" t="n">
        <v>1.76</v>
      </c>
      <c r="M14" s="9" t="n">
        <v>19.85</v>
      </c>
      <c r="N14" s="9" t="n">
        <v>1.88</v>
      </c>
      <c r="O14" s="9" t="n">
        <v>15.02</v>
      </c>
      <c r="P14" s="9" t="n">
        <v>58.4</v>
      </c>
    </row>
    <row r="15" customFormat="false" ht="15" hidden="false" customHeight="false" outlineLevel="0" collapsed="false">
      <c r="A15" s="8" t="n">
        <v>14</v>
      </c>
      <c r="B15" s="8" t="s">
        <v>53</v>
      </c>
      <c r="C15" s="9" t="n">
        <v>20.69</v>
      </c>
      <c r="D15" s="9" t="n">
        <v>2.76</v>
      </c>
      <c r="E15" s="9" t="n">
        <v>0.73</v>
      </c>
      <c r="F15" s="9" t="n">
        <v>8.85</v>
      </c>
      <c r="G15" s="9" t="n">
        <v>33.03</v>
      </c>
      <c r="H15" s="9" t="n">
        <v>1.89</v>
      </c>
      <c r="I15" s="9" t="n">
        <v>31.15</v>
      </c>
      <c r="J15" s="9" t="n">
        <v>15.07</v>
      </c>
      <c r="K15" s="9" t="n">
        <v>0.03</v>
      </c>
      <c r="L15" s="9" t="n">
        <v>1.4</v>
      </c>
      <c r="M15" s="9" t="n">
        <v>16.5</v>
      </c>
      <c r="N15" s="9" t="n">
        <v>1.46</v>
      </c>
      <c r="O15" s="9" t="n">
        <v>15.09</v>
      </c>
      <c r="P15" s="9" t="n">
        <v>52.99</v>
      </c>
    </row>
    <row r="16" customFormat="false" ht="15" hidden="false" customHeight="false" outlineLevel="0" collapsed="false">
      <c r="A16" s="8" t="n">
        <v>15</v>
      </c>
      <c r="B16" s="8" t="s">
        <v>54</v>
      </c>
      <c r="C16" s="9" t="n">
        <v>0.4</v>
      </c>
      <c r="D16" s="9" t="n">
        <v>0.001</v>
      </c>
      <c r="E16" s="9" t="n">
        <v>0.11</v>
      </c>
      <c r="F16" s="9" t="n">
        <v>0.006</v>
      </c>
      <c r="G16" s="9" t="n">
        <v>0.52</v>
      </c>
      <c r="H16" s="9" t="n">
        <v>0.05</v>
      </c>
      <c r="I16" s="9" t="n">
        <v>0.47</v>
      </c>
      <c r="J16" s="9" t="n">
        <v>0.017</v>
      </c>
      <c r="K16" s="9" t="n">
        <v>0.0002</v>
      </c>
      <c r="L16" s="9" t="n">
        <v>0.02</v>
      </c>
      <c r="M16" s="9" t="n">
        <v>0.04</v>
      </c>
      <c r="N16" s="9" t="n">
        <v>0.02</v>
      </c>
      <c r="O16" s="9" t="n">
        <v>0.43</v>
      </c>
      <c r="P16" s="9" t="n">
        <v>8</v>
      </c>
    </row>
    <row r="17" customFormat="false" ht="15" hidden="false" customHeight="false" outlineLevel="0" collapsed="false">
      <c r="A17" s="8" t="n">
        <v>16</v>
      </c>
      <c r="B17" s="8" t="s">
        <v>55</v>
      </c>
      <c r="C17" s="9" t="n">
        <v>1.35</v>
      </c>
      <c r="D17" s="9" t="n">
        <v>0.06</v>
      </c>
      <c r="E17" s="9" t="n">
        <v>0.42</v>
      </c>
      <c r="F17" s="9" t="n">
        <v>0.04</v>
      </c>
      <c r="G17" s="9" t="n">
        <v>1.86</v>
      </c>
      <c r="H17" s="9" t="n">
        <v>0.33</v>
      </c>
      <c r="I17" s="9" t="n">
        <v>1.53</v>
      </c>
      <c r="J17" s="9" t="n">
        <v>0.02</v>
      </c>
      <c r="K17" s="9" t="n">
        <v>0</v>
      </c>
      <c r="L17" s="9" t="n">
        <v>0.05</v>
      </c>
      <c r="M17" s="9" t="n">
        <v>0.07</v>
      </c>
      <c r="N17" s="9" t="n">
        <v>0.05</v>
      </c>
      <c r="O17" s="9" t="n">
        <v>1.48</v>
      </c>
      <c r="P17" s="9" t="n">
        <v>4.6</v>
      </c>
    </row>
    <row r="18" customFormat="false" ht="15" hidden="false" customHeight="false" outlineLevel="0" collapsed="false">
      <c r="A18" s="8" t="n">
        <v>17</v>
      </c>
      <c r="B18" s="8" t="s">
        <v>56</v>
      </c>
      <c r="C18" s="9" t="n">
        <v>0.18</v>
      </c>
      <c r="D18" s="9" t="n">
        <v>0</v>
      </c>
      <c r="E18" s="9" t="n">
        <v>0.03</v>
      </c>
      <c r="F18" s="9" t="n">
        <v>0</v>
      </c>
      <c r="G18" s="9" t="n">
        <v>0.21</v>
      </c>
      <c r="H18" s="9" t="n">
        <v>0.02</v>
      </c>
      <c r="I18" s="9" t="n">
        <v>0.19</v>
      </c>
      <c r="J18" s="9" t="n">
        <v>0</v>
      </c>
      <c r="K18" s="9" t="n">
        <v>0</v>
      </c>
      <c r="L18" s="9" t="n">
        <v>0.01</v>
      </c>
      <c r="M18" s="9" t="n">
        <v>0.01</v>
      </c>
      <c r="N18" s="9" t="n">
        <v>0.01</v>
      </c>
      <c r="O18" s="9" t="n">
        <v>0.18</v>
      </c>
      <c r="P18" s="9" t="n">
        <v>3.95</v>
      </c>
    </row>
    <row r="19" customFormat="false" ht="15" hidden="false" customHeight="false" outlineLevel="0" collapsed="false">
      <c r="A19" s="8" t="n">
        <v>18</v>
      </c>
      <c r="B19" s="8" t="s">
        <v>57</v>
      </c>
      <c r="C19" s="9" t="n">
        <v>0.41</v>
      </c>
      <c r="D19" s="9" t="n">
        <v>0.12</v>
      </c>
      <c r="E19" s="9" t="n">
        <v>0.08</v>
      </c>
      <c r="F19" s="9" t="n">
        <v>0.01</v>
      </c>
      <c r="G19" s="9" t="n">
        <v>0.62</v>
      </c>
      <c r="H19" s="9" t="n">
        <v>0.05</v>
      </c>
      <c r="I19" s="9" t="n">
        <v>0.56</v>
      </c>
      <c r="J19" s="9" t="n">
        <v>0.01</v>
      </c>
      <c r="K19" s="9" t="n">
        <v>0</v>
      </c>
      <c r="L19" s="9" t="n">
        <v>0.02</v>
      </c>
      <c r="M19" s="9" t="n">
        <v>0.03</v>
      </c>
      <c r="N19" s="9" t="n">
        <v>0.02</v>
      </c>
      <c r="O19" s="9" t="n">
        <v>0.53</v>
      </c>
      <c r="P19" s="9" t="n">
        <v>4.72</v>
      </c>
    </row>
    <row r="20" customFormat="false" ht="15" hidden="false" customHeight="false" outlineLevel="0" collapsed="false">
      <c r="A20" s="8" t="n">
        <v>19</v>
      </c>
      <c r="B20" s="8" t="s">
        <v>58</v>
      </c>
      <c r="C20" s="9" t="n">
        <v>10.18</v>
      </c>
      <c r="D20" s="9" t="n">
        <v>2.94</v>
      </c>
      <c r="E20" s="9" t="n">
        <v>1.51</v>
      </c>
      <c r="F20" s="9" t="n">
        <v>2.84</v>
      </c>
      <c r="G20" s="9" t="n">
        <v>17.46</v>
      </c>
      <c r="H20" s="9" t="n">
        <v>1.42</v>
      </c>
      <c r="I20" s="9" t="n">
        <v>16.04</v>
      </c>
      <c r="J20" s="9" t="n">
        <v>6.28</v>
      </c>
      <c r="K20" s="9" t="n">
        <v>0.19</v>
      </c>
      <c r="L20" s="9" t="n">
        <v>1.26</v>
      </c>
      <c r="M20" s="9" t="n">
        <v>7.74</v>
      </c>
      <c r="N20" s="9" t="n">
        <v>1.37</v>
      </c>
      <c r="O20" s="9" t="n">
        <v>8.26</v>
      </c>
      <c r="P20" s="9" t="n">
        <v>48.23</v>
      </c>
    </row>
    <row r="21" customFormat="false" ht="15" hidden="false" customHeight="false" outlineLevel="0" collapsed="false">
      <c r="A21" s="8" t="n">
        <v>20</v>
      </c>
      <c r="B21" s="8" t="s">
        <v>59</v>
      </c>
      <c r="C21" s="9" t="n">
        <v>4.79</v>
      </c>
      <c r="D21" s="9" t="n">
        <v>9.01</v>
      </c>
      <c r="E21" s="9" t="n">
        <v>0.72</v>
      </c>
      <c r="F21" s="9" t="n">
        <v>4.37</v>
      </c>
      <c r="G21" s="9" t="n">
        <v>19.19</v>
      </c>
      <c r="H21" s="9" t="n">
        <v>1.87</v>
      </c>
      <c r="I21" s="9" t="n">
        <v>17.63</v>
      </c>
      <c r="J21" s="9" t="n">
        <v>26.24</v>
      </c>
      <c r="K21" s="9" t="n">
        <v>0.25</v>
      </c>
      <c r="L21" s="9" t="n">
        <v>1.18</v>
      </c>
      <c r="M21" s="9" t="n">
        <v>27.66</v>
      </c>
      <c r="N21" s="9" t="n">
        <v>1.19</v>
      </c>
      <c r="O21" s="9" t="n">
        <v>2.07</v>
      </c>
      <c r="P21" s="9" t="n">
        <v>156.87</v>
      </c>
    </row>
    <row r="22" customFormat="false" ht="15" hidden="false" customHeight="false" outlineLevel="0" collapsed="false">
      <c r="A22" s="8" t="n">
        <v>21</v>
      </c>
      <c r="B22" s="8" t="s">
        <v>60</v>
      </c>
      <c r="C22" s="9" t="n">
        <v>9.08</v>
      </c>
      <c r="D22" s="9" t="n">
        <v>0.65</v>
      </c>
      <c r="E22" s="9" t="n">
        <v>0.22</v>
      </c>
      <c r="F22" s="9" t="n">
        <v>2.62</v>
      </c>
      <c r="G22" s="9" t="n">
        <v>12.58</v>
      </c>
      <c r="H22" s="9" t="n">
        <v>1.2</v>
      </c>
      <c r="I22" s="9" t="n">
        <v>11.37</v>
      </c>
      <c r="J22" s="9" t="n">
        <v>14.51</v>
      </c>
      <c r="K22" s="9" t="n">
        <v>0.13</v>
      </c>
      <c r="L22" s="9" t="n">
        <v>2.41</v>
      </c>
      <c r="M22" s="9" t="n">
        <v>17.05</v>
      </c>
      <c r="N22" s="9" t="n">
        <v>2.41</v>
      </c>
      <c r="O22" s="9" t="n">
        <v>0.88</v>
      </c>
      <c r="P22" s="9" t="n">
        <v>149.86</v>
      </c>
    </row>
    <row r="23" customFormat="false" ht="15" hidden="false" customHeight="false" outlineLevel="0" collapsed="false">
      <c r="A23" s="8" t="n">
        <v>22</v>
      </c>
      <c r="B23" s="8" t="s">
        <v>61</v>
      </c>
      <c r="C23" s="9" t="n">
        <v>0.18</v>
      </c>
      <c r="D23" s="9" t="n">
        <v>0</v>
      </c>
      <c r="E23" s="9" t="n">
        <v>0.06</v>
      </c>
      <c r="F23" s="9" t="n">
        <v>0</v>
      </c>
      <c r="G23" s="9" t="n">
        <v>0.24</v>
      </c>
      <c r="H23" s="9" t="n">
        <v>0.02</v>
      </c>
      <c r="I23" s="9" t="n">
        <v>0.22</v>
      </c>
      <c r="J23" s="9" t="n">
        <v>0.01</v>
      </c>
      <c r="K23" s="9" t="n">
        <v>0</v>
      </c>
      <c r="L23" s="9" t="n">
        <v>0</v>
      </c>
      <c r="M23" s="9" t="n">
        <v>0.01</v>
      </c>
      <c r="N23" s="9" t="n">
        <v>0</v>
      </c>
      <c r="O23" s="9" t="n">
        <v>0.2</v>
      </c>
      <c r="P23" s="9" t="n">
        <v>5.85</v>
      </c>
    </row>
    <row r="24" customFormat="false" ht="15" hidden="false" customHeight="false" outlineLevel="0" collapsed="false">
      <c r="A24" s="8" t="n">
        <v>23</v>
      </c>
      <c r="B24" s="8" t="s">
        <v>62</v>
      </c>
      <c r="C24" s="9" t="n">
        <v>7.42</v>
      </c>
      <c r="D24" s="9" t="n">
        <v>10.18</v>
      </c>
      <c r="E24" s="9" t="n">
        <v>1.2</v>
      </c>
      <c r="F24" s="9" t="n">
        <v>2.71</v>
      </c>
      <c r="G24" s="9" t="n">
        <v>21.51</v>
      </c>
      <c r="H24" s="9" t="n">
        <v>2.07</v>
      </c>
      <c r="I24" s="9" t="n">
        <v>19.46</v>
      </c>
      <c r="J24" s="9" t="n">
        <v>13.51</v>
      </c>
      <c r="K24" s="9" t="n">
        <v>0.14</v>
      </c>
      <c r="L24" s="9" t="n">
        <v>0.8</v>
      </c>
      <c r="M24" s="9" t="n">
        <v>14.45</v>
      </c>
      <c r="N24" s="9" t="n">
        <v>1.45</v>
      </c>
      <c r="O24" s="9" t="n">
        <v>6.76</v>
      </c>
      <c r="P24" s="9" t="n">
        <v>74.26</v>
      </c>
    </row>
    <row r="25" customFormat="false" ht="15" hidden="false" customHeight="false" outlineLevel="0" collapsed="false">
      <c r="A25" s="8" t="n">
        <v>24</v>
      </c>
      <c r="B25" s="8" t="s">
        <v>63</v>
      </c>
      <c r="C25" s="9" t="n">
        <v>6.88</v>
      </c>
      <c r="D25" s="9" t="n">
        <v>6.63</v>
      </c>
      <c r="E25" s="9" t="n">
        <v>0.94</v>
      </c>
      <c r="F25" s="9" t="n">
        <v>5.96</v>
      </c>
      <c r="G25" s="9" t="n">
        <v>20.4</v>
      </c>
      <c r="H25" s="9" t="n">
        <v>1.96</v>
      </c>
      <c r="I25" s="9" t="n">
        <v>18.44</v>
      </c>
      <c r="J25" s="9" t="n">
        <v>7.59</v>
      </c>
      <c r="K25" s="9" t="n">
        <v>0.37</v>
      </c>
      <c r="L25" s="9" t="n">
        <v>0.51</v>
      </c>
      <c r="M25" s="9" t="n">
        <v>8.47</v>
      </c>
      <c r="N25" s="9" t="n">
        <v>0.74</v>
      </c>
      <c r="O25" s="9" t="n">
        <v>9.95</v>
      </c>
      <c r="P25" s="9" t="n">
        <v>45.91</v>
      </c>
    </row>
    <row r="26" customFormat="false" ht="15" hidden="false" customHeight="false" outlineLevel="0" collapsed="false">
      <c r="A26" s="8" t="n">
        <v>25</v>
      </c>
      <c r="B26" s="8" t="s">
        <v>64</v>
      </c>
      <c r="C26" s="9" t="n">
        <v>1.03</v>
      </c>
      <c r="D26" s="9" t="n">
        <v>0.16</v>
      </c>
      <c r="E26" s="9" t="n">
        <v>0.2</v>
      </c>
      <c r="F26" s="9" t="n">
        <v>0.07</v>
      </c>
      <c r="G26" s="9" t="n">
        <v>1.45</v>
      </c>
      <c r="H26" s="9" t="n">
        <v>0.27</v>
      </c>
      <c r="I26" s="9" t="n">
        <v>1.18</v>
      </c>
      <c r="J26" s="9" t="n">
        <v>0.03</v>
      </c>
      <c r="K26" s="9" t="n">
        <v>0</v>
      </c>
      <c r="L26" s="9" t="n">
        <v>0.08</v>
      </c>
      <c r="M26" s="9" t="n">
        <v>0.11</v>
      </c>
      <c r="N26" s="9" t="n">
        <v>0.09</v>
      </c>
      <c r="O26" s="9" t="n">
        <v>1.07</v>
      </c>
      <c r="P26" s="9" t="n">
        <v>9.48</v>
      </c>
    </row>
    <row r="27" customFormat="false" ht="15" hidden="false" customHeight="false" outlineLevel="0" collapsed="false">
      <c r="A27" s="8" t="n">
        <v>26</v>
      </c>
      <c r="B27" s="8" t="s">
        <v>65</v>
      </c>
      <c r="C27" s="9" t="n">
        <v>36.43</v>
      </c>
      <c r="D27" s="9" t="n">
        <v>14.12</v>
      </c>
      <c r="E27" s="9" t="n">
        <v>0.81</v>
      </c>
      <c r="F27" s="9" t="n">
        <v>21.47</v>
      </c>
      <c r="G27" s="9" t="n">
        <v>72.84</v>
      </c>
      <c r="H27" s="9" t="n">
        <v>6.46</v>
      </c>
      <c r="I27" s="9" t="n">
        <v>66.38</v>
      </c>
      <c r="J27" s="9" t="n">
        <v>41.15</v>
      </c>
      <c r="K27" s="9" t="n">
        <v>0.53</v>
      </c>
      <c r="L27" s="9" t="n">
        <v>5.08</v>
      </c>
      <c r="M27" s="9" t="n">
        <v>46.76</v>
      </c>
      <c r="N27" s="9" t="n">
        <v>5.38</v>
      </c>
      <c r="O27" s="9" t="n">
        <v>20.52</v>
      </c>
      <c r="P27" s="9" t="n">
        <v>70.45</v>
      </c>
    </row>
    <row r="28" customFormat="false" ht="15" hidden="false" customHeight="false" outlineLevel="0" collapsed="false">
      <c r="A28" s="8" t="n">
        <v>27</v>
      </c>
      <c r="B28" s="8" t="s">
        <v>66</v>
      </c>
      <c r="C28" s="9" t="n">
        <v>1.53</v>
      </c>
      <c r="D28" s="9" t="n">
        <v>0.21</v>
      </c>
      <c r="E28" s="9" t="n">
        <v>0.14</v>
      </c>
      <c r="F28" s="9" t="n">
        <v>0.26</v>
      </c>
      <c r="G28" s="9" t="n">
        <v>2.14</v>
      </c>
      <c r="H28" s="9" t="n">
        <v>0.17</v>
      </c>
      <c r="I28" s="9" t="n">
        <v>1.96</v>
      </c>
      <c r="J28" s="9" t="n">
        <v>0.74</v>
      </c>
      <c r="K28" s="9" t="n">
        <v>0.13</v>
      </c>
      <c r="L28" s="9" t="n">
        <v>0.18</v>
      </c>
      <c r="M28" s="9" t="n">
        <v>1.05</v>
      </c>
      <c r="N28" s="9" t="n">
        <v>0.26</v>
      </c>
      <c r="O28" s="9" t="n">
        <v>0.83</v>
      </c>
      <c r="P28" s="9" t="n">
        <v>53.54</v>
      </c>
    </row>
    <row r="29" customFormat="false" ht="15" hidden="false" customHeight="false" outlineLevel="0" collapsed="false">
      <c r="A29" s="8" t="n">
        <v>28</v>
      </c>
      <c r="B29" s="8" t="s">
        <v>67</v>
      </c>
      <c r="C29" s="9" t="n">
        <v>16.65</v>
      </c>
      <c r="D29" s="9" t="n">
        <v>1.71</v>
      </c>
      <c r="E29" s="9" t="n">
        <v>3.4</v>
      </c>
      <c r="F29" s="9" t="n">
        <v>4.13</v>
      </c>
      <c r="G29" s="9" t="n">
        <v>25.89</v>
      </c>
      <c r="H29" s="9" t="n">
        <v>2.33</v>
      </c>
      <c r="I29" s="9" t="n">
        <v>23.56</v>
      </c>
      <c r="J29" s="9" t="n">
        <v>8.99</v>
      </c>
      <c r="K29" s="9" t="n">
        <v>0.17</v>
      </c>
      <c r="L29" s="9" t="n">
        <v>1.59</v>
      </c>
      <c r="M29" s="9" t="n">
        <v>10.75</v>
      </c>
      <c r="N29" s="9" t="n">
        <v>1.77</v>
      </c>
      <c r="O29" s="9" t="n">
        <v>12.72</v>
      </c>
      <c r="P29" s="9" t="n">
        <v>45.63</v>
      </c>
    </row>
    <row r="30" customFormat="false" ht="15" hidden="false" customHeight="false" outlineLevel="0" collapsed="false">
      <c r="A30" s="8" t="n">
        <v>29</v>
      </c>
      <c r="B30" s="8" t="s">
        <v>68</v>
      </c>
      <c r="C30" s="9" t="n">
        <v>0.2</v>
      </c>
      <c r="D30" s="9" t="n">
        <v>0</v>
      </c>
      <c r="E30" s="9" t="n">
        <v>0.17</v>
      </c>
      <c r="F30" s="9" t="n">
        <v>0</v>
      </c>
      <c r="G30" s="9" t="n">
        <v>0.38</v>
      </c>
      <c r="H30" s="9" t="n">
        <v>0.04</v>
      </c>
      <c r="I30" s="9" t="n">
        <v>0.34</v>
      </c>
      <c r="J30" s="9" t="n">
        <v>0</v>
      </c>
      <c r="K30" s="9" t="n">
        <v>0</v>
      </c>
      <c r="L30" s="9" t="n">
        <v>0.01</v>
      </c>
      <c r="M30" s="9" t="n">
        <v>0.01</v>
      </c>
      <c r="N30" s="9" t="n">
        <v>0.01</v>
      </c>
      <c r="O30" s="9" t="n">
        <v>0.33</v>
      </c>
      <c r="P30" s="9" t="n">
        <v>2.08</v>
      </c>
    </row>
    <row r="31" customFormat="false" ht="15" hidden="false" customHeight="false" outlineLevel="0" collapsed="false">
      <c r="A31" s="8" t="n">
        <v>30</v>
      </c>
      <c r="B31" s="8" t="s">
        <v>69</v>
      </c>
      <c r="C31" s="9" t="n">
        <v>0.01</v>
      </c>
      <c r="D31" s="9" t="n">
        <v>0.01</v>
      </c>
      <c r="E31" s="9" t="n">
        <v>0</v>
      </c>
      <c r="F31" s="9" t="n">
        <v>0.03</v>
      </c>
      <c r="G31" s="9" t="n">
        <v>0.06</v>
      </c>
      <c r="H31" s="9" t="n">
        <v>0.01</v>
      </c>
      <c r="I31" s="9" t="n">
        <v>0.05</v>
      </c>
      <c r="J31" s="9" t="n">
        <v>0.01</v>
      </c>
      <c r="K31" s="9" t="n">
        <v>0</v>
      </c>
      <c r="L31" s="9" t="n">
        <v>0.03</v>
      </c>
      <c r="M31" s="9" t="n">
        <v>0.03</v>
      </c>
      <c r="N31" s="9" t="n">
        <v>0.03</v>
      </c>
      <c r="O31" s="9" t="n">
        <v>0.02</v>
      </c>
      <c r="P31" s="9" t="n">
        <v>66.13</v>
      </c>
    </row>
    <row r="32" customFormat="false" ht="15" hidden="false" customHeight="false" outlineLevel="0" collapsed="false">
      <c r="A32" s="8" t="n">
        <v>31</v>
      </c>
      <c r="B32" s="8" t="s">
        <v>70</v>
      </c>
      <c r="C32" s="9" t="n">
        <v>0.09</v>
      </c>
      <c r="D32" s="9" t="n">
        <v>0.01</v>
      </c>
      <c r="E32" s="9" t="n">
        <v>0</v>
      </c>
      <c r="F32" s="9" t="n">
        <v>0.02</v>
      </c>
      <c r="G32" s="9" t="n">
        <v>0.12</v>
      </c>
      <c r="H32" s="9" t="n">
        <v>0.01</v>
      </c>
      <c r="I32" s="9" t="n">
        <v>0.12</v>
      </c>
      <c r="J32" s="9" t="n">
        <v>0.01</v>
      </c>
      <c r="K32" s="9" t="n">
        <v>0.14</v>
      </c>
      <c r="L32" s="9" t="n">
        <v>0.01</v>
      </c>
      <c r="M32" s="9" t="n">
        <v>0.16</v>
      </c>
      <c r="N32" s="9" t="n">
        <v>0.03</v>
      </c>
      <c r="O32" s="9" t="n">
        <v>0.01</v>
      </c>
      <c r="P32" s="9" t="n">
        <v>142.17</v>
      </c>
    </row>
    <row r="33" customFormat="false" ht="15" hidden="false" customHeight="false" outlineLevel="0" collapsed="false">
      <c r="A33" s="8" t="n">
        <v>32</v>
      </c>
      <c r="B33" s="8" t="s">
        <v>71</v>
      </c>
      <c r="C33" s="9" t="n">
        <v>0.12</v>
      </c>
      <c r="D33" s="9" t="n">
        <v>0.09</v>
      </c>
      <c r="E33" s="9" t="n">
        <v>0</v>
      </c>
      <c r="F33" s="9" t="n">
        <v>0.17</v>
      </c>
      <c r="G33" s="9" t="n">
        <v>0.38</v>
      </c>
      <c r="H33" s="9" t="n">
        <v>0.04</v>
      </c>
      <c r="I33" s="9" t="n">
        <v>0.34</v>
      </c>
      <c r="J33" s="9" t="n">
        <v>0.08</v>
      </c>
      <c r="K33" s="9" t="n">
        <v>0</v>
      </c>
      <c r="L33" s="9" t="n">
        <v>0.26</v>
      </c>
      <c r="M33" s="9" t="n">
        <v>0.34</v>
      </c>
      <c r="N33" s="9" t="n">
        <v>0.28</v>
      </c>
      <c r="O33" s="9" t="n">
        <v>0.02</v>
      </c>
      <c r="P33" s="9" t="n">
        <v>100.77</v>
      </c>
    </row>
    <row r="34" customFormat="false" ht="15" hidden="false" customHeight="false" outlineLevel="0" collapsed="false">
      <c r="A34" s="8" t="n">
        <v>33</v>
      </c>
      <c r="B34" s="8" t="s">
        <v>72</v>
      </c>
      <c r="C34" s="9" t="n">
        <v>1.19</v>
      </c>
      <c r="D34" s="9" t="n">
        <v>0.35</v>
      </c>
      <c r="E34" s="9" t="n">
        <v>0.85</v>
      </c>
      <c r="F34" s="9" t="n">
        <v>0.15</v>
      </c>
      <c r="G34" s="9" t="n">
        <v>2.55</v>
      </c>
      <c r="H34" s="9" t="n">
        <v>0.25</v>
      </c>
      <c r="I34" s="9" t="n">
        <v>2.3</v>
      </c>
      <c r="J34" s="9" t="n">
        <v>0.13</v>
      </c>
      <c r="K34" s="9" t="n">
        <v>0.02</v>
      </c>
      <c r="L34" s="9" t="n">
        <v>0.37</v>
      </c>
      <c r="M34" s="9" t="n">
        <v>0.51</v>
      </c>
      <c r="N34" s="9" t="n">
        <v>0.37</v>
      </c>
      <c r="O34" s="9" t="n">
        <v>1.79</v>
      </c>
      <c r="P34" s="9" t="n">
        <v>22.28</v>
      </c>
    </row>
    <row r="35" customFormat="false" ht="15" hidden="false" customHeight="false" outlineLevel="0" collapsed="false">
      <c r="A35" s="8" t="n">
        <v>34</v>
      </c>
      <c r="B35" s="8" t="s">
        <v>73</v>
      </c>
      <c r="C35" s="9" t="n">
        <v>0</v>
      </c>
      <c r="D35" s="9" t="n">
        <v>0.05</v>
      </c>
      <c r="E35" s="9" t="n">
        <v>0.01</v>
      </c>
      <c r="F35" s="9" t="n">
        <v>0</v>
      </c>
      <c r="G35" s="9" t="n">
        <v>0.07</v>
      </c>
      <c r="H35" s="9" t="n">
        <v>0.01</v>
      </c>
      <c r="I35" s="9" t="n">
        <v>0.06</v>
      </c>
      <c r="J35" s="9" t="n">
        <v>0</v>
      </c>
      <c r="K35" s="9" t="n">
        <v>0</v>
      </c>
      <c r="L35" s="9" t="n">
        <v>0.02</v>
      </c>
      <c r="M35" s="9" t="n">
        <v>0.02</v>
      </c>
      <c r="N35" s="9" t="n">
        <v>0.02</v>
      </c>
      <c r="O35" s="9" t="n">
        <v>0.04</v>
      </c>
      <c r="P35" s="9" t="n">
        <v>30.93</v>
      </c>
    </row>
    <row r="36" customFormat="false" ht="15" hidden="false" customHeight="false" outlineLevel="0" collapsed="false">
      <c r="A36" s="8" t="n">
        <v>35</v>
      </c>
      <c r="B36" s="8" t="s">
        <v>74</v>
      </c>
      <c r="C36" s="9" t="n">
        <v>0.01</v>
      </c>
      <c r="D36" s="9" t="n">
        <v>0</v>
      </c>
      <c r="E36" s="9" t="n">
        <v>0</v>
      </c>
      <c r="F36" s="9" t="n">
        <v>0</v>
      </c>
      <c r="G36" s="9" t="n">
        <v>0.01</v>
      </c>
      <c r="H36" s="9" t="n">
        <v>0.01</v>
      </c>
      <c r="I36" s="9" t="n">
        <v>0.01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61.32</v>
      </c>
    </row>
    <row r="37" customFormat="false" ht="15" hidden="false" customHeight="false" outlineLevel="0" collapsed="false">
      <c r="A37" s="8" t="n">
        <v>36</v>
      </c>
      <c r="B37" s="8" t="s">
        <v>75</v>
      </c>
      <c r="C37" s="9" t="n">
        <v>0.05</v>
      </c>
      <c r="D37" s="9" t="n">
        <v>0.09</v>
      </c>
      <c r="E37" s="9" t="n">
        <v>0.01</v>
      </c>
      <c r="F37" s="9" t="n">
        <v>0.03</v>
      </c>
      <c r="G37" s="9" t="n">
        <v>0.19</v>
      </c>
      <c r="H37" s="9" t="n">
        <v>0.02</v>
      </c>
      <c r="I37" s="9" t="n">
        <v>0.17</v>
      </c>
      <c r="J37" s="9" t="n">
        <v>0.07</v>
      </c>
      <c r="K37" s="9" t="n">
        <v>0.01</v>
      </c>
      <c r="L37" s="9" t="n">
        <v>0.05</v>
      </c>
      <c r="M37" s="9" t="n">
        <v>0.13</v>
      </c>
      <c r="N37" s="9" t="n">
        <v>0.05</v>
      </c>
      <c r="O37" s="9" t="n">
        <v>0.04</v>
      </c>
      <c r="P37" s="9" t="n">
        <v>75.91</v>
      </c>
    </row>
    <row r="38" customFormat="false" ht="15" hidden="false" customHeight="false" outlineLevel="0" collapsed="false">
      <c r="B38" s="5" t="s">
        <v>76</v>
      </c>
      <c r="C38" s="10" t="n">
        <f aca="false">SUM(C2:C37)</f>
        <v>246.35</v>
      </c>
      <c r="D38" s="10" t="n">
        <f aca="false">SUM(D2:D37)</f>
        <v>86.131</v>
      </c>
      <c r="E38" s="10" t="n">
        <f aca="false">SUM(E2:E37)</f>
        <v>24.52</v>
      </c>
      <c r="F38" s="10" t="n">
        <f aca="false">SUM(F2:F37)</f>
        <v>89.526</v>
      </c>
      <c r="G38" s="10" t="n">
        <f aca="false">SUM(G2:G37)</f>
        <v>446.9</v>
      </c>
      <c r="H38" s="10" t="n">
        <f aca="false">SUM(H2:H37)</f>
        <v>41.05</v>
      </c>
      <c r="I38" s="10" t="n">
        <f aca="false">SUM(I2:I37)</f>
        <v>406.19</v>
      </c>
      <c r="J38" s="10" t="n">
        <f aca="false">SUM(J2:J37)</f>
        <v>213.317</v>
      </c>
      <c r="K38" s="10" t="n">
        <f aca="false">SUM(K2:K37)</f>
        <v>4.2602</v>
      </c>
      <c r="L38" s="10" t="n">
        <f aca="false">SUM(L2:L37)</f>
        <v>28.1</v>
      </c>
      <c r="M38" s="10" t="n">
        <f aca="false">SUM(M2:M37)</f>
        <v>245.63</v>
      </c>
      <c r="N38" s="10" t="n">
        <f aca="false">SUM(N2:N37)</f>
        <v>31.15</v>
      </c>
      <c r="O38" s="10" t="n">
        <f aca="false">SUM(O2:O37)</f>
        <v>189.81</v>
      </c>
      <c r="P38" s="10" t="n">
        <f aca="false">100*M38/I38</f>
        <v>60.4717004357567</v>
      </c>
    </row>
  </sheetData>
  <conditionalFormatting sqref="P2:P37">
    <cfRule type="colorScale" priority="2">
      <colorScale>
        <cfvo type="min" val="0"/>
        <cfvo type="num" val="7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23.85" hidden="false" customHeight="false" outlineLevel="0" collapsed="false">
      <c r="A1" s="7" t="s">
        <v>77</v>
      </c>
      <c r="B1" s="7" t="s">
        <v>78</v>
      </c>
    </row>
    <row r="2" customFormat="false" ht="15" hidden="false" customHeight="false" outlineLevel="0" collapsed="false">
      <c r="A2" s="0" t="s">
        <v>59</v>
      </c>
      <c r="B2" s="0" t="n">
        <v>156.87</v>
      </c>
    </row>
    <row r="3" customFormat="false" ht="15" hidden="false" customHeight="false" outlineLevel="0" collapsed="false">
      <c r="A3" s="0" t="s">
        <v>60</v>
      </c>
      <c r="B3" s="0" t="n">
        <v>149.86</v>
      </c>
    </row>
    <row r="4" customFormat="false" ht="15" hidden="false" customHeight="false" outlineLevel="0" collapsed="false">
      <c r="A4" s="0" t="s">
        <v>70</v>
      </c>
      <c r="B4" s="0" t="n">
        <v>142.17</v>
      </c>
    </row>
    <row r="5" customFormat="false" ht="15" hidden="false" customHeight="false" outlineLevel="0" collapsed="false">
      <c r="A5" s="0" t="s">
        <v>47</v>
      </c>
      <c r="B5" s="0" t="n">
        <v>135.96</v>
      </c>
    </row>
    <row r="6" customFormat="false" ht="15" hidden="false" customHeight="false" outlineLevel="0" collapsed="false">
      <c r="A6" s="0" t="s">
        <v>71</v>
      </c>
      <c r="B6" s="0" t="n">
        <v>100.77</v>
      </c>
    </row>
    <row r="7" customFormat="false" ht="15" hidden="false" customHeight="false" outlineLevel="0" collapsed="false">
      <c r="A7" s="0" t="s">
        <v>75</v>
      </c>
      <c r="B7" s="0" t="n">
        <v>75.91</v>
      </c>
    </row>
    <row r="8" customFormat="false" ht="15" hidden="false" customHeight="false" outlineLevel="0" collapsed="false">
      <c r="A8" s="0" t="s">
        <v>62</v>
      </c>
      <c r="B8" s="0" t="n">
        <v>74.26</v>
      </c>
    </row>
    <row r="9" customFormat="false" ht="15" hidden="false" customHeight="false" outlineLevel="0" collapsed="false">
      <c r="A9" s="0" t="s">
        <v>65</v>
      </c>
      <c r="B9" s="0" t="n">
        <v>70.45</v>
      </c>
    </row>
    <row r="10" customFormat="false" ht="15" hidden="false" customHeight="false" outlineLevel="0" collapsed="false">
      <c r="A10" s="0" t="s">
        <v>50</v>
      </c>
      <c r="B10" s="0" t="n">
        <v>68.44</v>
      </c>
    </row>
    <row r="11" customFormat="false" ht="15" hidden="false" customHeight="false" outlineLevel="0" collapsed="false">
      <c r="A11" s="0" t="s">
        <v>69</v>
      </c>
      <c r="B11" s="0" t="n">
        <v>66.13</v>
      </c>
    </row>
    <row r="12" customFormat="false" ht="15" hidden="false" customHeight="false" outlineLevel="0" collapsed="false">
      <c r="A12" s="0" t="s">
        <v>74</v>
      </c>
      <c r="B12" s="0" t="n">
        <v>61.32</v>
      </c>
    </row>
    <row r="13" customFormat="false" ht="15" hidden="false" customHeight="false" outlineLevel="0" collapsed="false">
      <c r="A13" s="0" t="s">
        <v>52</v>
      </c>
      <c r="B13" s="0" t="n">
        <v>58.4</v>
      </c>
    </row>
    <row r="14" customFormat="false" ht="15" hidden="false" customHeight="false" outlineLevel="0" collapsed="false">
      <c r="A14" s="0" t="s">
        <v>46</v>
      </c>
      <c r="B14" s="0" t="n">
        <v>54.21</v>
      </c>
    </row>
    <row r="15" customFormat="false" ht="15" hidden="false" customHeight="false" outlineLevel="0" collapsed="false">
      <c r="A15" s="0" t="s">
        <v>51</v>
      </c>
      <c r="B15" s="0" t="n">
        <v>53.78</v>
      </c>
    </row>
    <row r="16" customFormat="false" ht="15" hidden="false" customHeight="false" outlineLevel="0" collapsed="false">
      <c r="A16" s="0" t="s">
        <v>66</v>
      </c>
      <c r="B16" s="0" t="n">
        <v>53.54</v>
      </c>
    </row>
    <row r="17" customFormat="false" ht="15" hidden="false" customHeight="false" outlineLevel="0" collapsed="false">
      <c r="A17" s="0" t="s">
        <v>53</v>
      </c>
      <c r="B17" s="0" t="n">
        <v>52.99</v>
      </c>
    </row>
    <row r="18" customFormat="false" ht="15" hidden="false" customHeight="false" outlineLevel="0" collapsed="false">
      <c r="A18" s="0" t="s">
        <v>58</v>
      </c>
      <c r="B18" s="0" t="n">
        <v>48.23</v>
      </c>
    </row>
    <row r="19" customFormat="false" ht="15" hidden="false" customHeight="false" outlineLevel="0" collapsed="false">
      <c r="A19" s="0" t="s">
        <v>44</v>
      </c>
      <c r="B19" s="0" t="n">
        <v>47.32</v>
      </c>
    </row>
    <row r="20" customFormat="false" ht="15" hidden="false" customHeight="false" outlineLevel="0" collapsed="false">
      <c r="A20" s="0" t="s">
        <v>63</v>
      </c>
      <c r="B20" s="0" t="n">
        <v>45.91</v>
      </c>
    </row>
    <row r="21" customFormat="false" ht="15" hidden="false" customHeight="false" outlineLevel="0" collapsed="false">
      <c r="A21" s="0" t="s">
        <v>67</v>
      </c>
      <c r="B21" s="0" t="n">
        <v>45.63</v>
      </c>
    </row>
    <row r="22" customFormat="false" ht="15" hidden="false" customHeight="false" outlineLevel="0" collapsed="false">
      <c r="A22" s="0" t="s">
        <v>43</v>
      </c>
      <c r="B22" s="0" t="n">
        <v>45.54</v>
      </c>
    </row>
    <row r="23" customFormat="false" ht="15" hidden="false" customHeight="false" outlineLevel="0" collapsed="false">
      <c r="A23" s="0" t="s">
        <v>48</v>
      </c>
      <c r="B23" s="0" t="n">
        <v>35.48</v>
      </c>
    </row>
    <row r="24" customFormat="false" ht="15" hidden="false" customHeight="false" outlineLevel="0" collapsed="false">
      <c r="A24" s="0" t="s">
        <v>49</v>
      </c>
      <c r="B24" s="0" t="n">
        <v>31.43</v>
      </c>
    </row>
    <row r="25" customFormat="false" ht="15" hidden="false" customHeight="false" outlineLevel="0" collapsed="false">
      <c r="A25" s="0" t="s">
        <v>73</v>
      </c>
      <c r="B25" s="0" t="n">
        <v>30.93</v>
      </c>
    </row>
    <row r="26" customFormat="false" ht="15" hidden="false" customHeight="false" outlineLevel="0" collapsed="false">
      <c r="A26" s="0" t="s">
        <v>40</v>
      </c>
      <c r="B26" s="0" t="n">
        <v>29.83</v>
      </c>
    </row>
    <row r="27" customFormat="false" ht="15" hidden="false" customHeight="false" outlineLevel="0" collapsed="false">
      <c r="A27" s="0" t="s">
        <v>45</v>
      </c>
      <c r="B27" s="0" t="n">
        <v>22.91</v>
      </c>
    </row>
    <row r="28" customFormat="false" ht="15" hidden="false" customHeight="false" outlineLevel="0" collapsed="false">
      <c r="A28" s="0" t="s">
        <v>72</v>
      </c>
      <c r="B28" s="0" t="n">
        <v>22.28</v>
      </c>
    </row>
    <row r="29" customFormat="false" ht="15" hidden="false" customHeight="false" outlineLevel="0" collapsed="false">
      <c r="A29" s="0" t="s">
        <v>42</v>
      </c>
      <c r="B29" s="0" t="n">
        <v>12.61</v>
      </c>
    </row>
    <row r="30" customFormat="false" ht="15" hidden="false" customHeight="false" outlineLevel="0" collapsed="false">
      <c r="A30" s="0" t="s">
        <v>64</v>
      </c>
      <c r="B30" s="0" t="n">
        <v>9.48</v>
      </c>
    </row>
    <row r="31" customFormat="false" ht="15" hidden="false" customHeight="false" outlineLevel="0" collapsed="false">
      <c r="A31" s="0" t="s">
        <v>54</v>
      </c>
      <c r="B31" s="0" t="n">
        <v>8</v>
      </c>
    </row>
    <row r="32" customFormat="false" ht="15" hidden="false" customHeight="false" outlineLevel="0" collapsed="false">
      <c r="A32" s="0" t="s">
        <v>61</v>
      </c>
      <c r="B32" s="0" t="n">
        <v>5.85</v>
      </c>
    </row>
    <row r="33" customFormat="false" ht="15" hidden="false" customHeight="false" outlineLevel="0" collapsed="false">
      <c r="A33" s="0" t="s">
        <v>57</v>
      </c>
      <c r="B33" s="0" t="n">
        <v>4.72</v>
      </c>
    </row>
    <row r="34" customFormat="false" ht="15" hidden="false" customHeight="false" outlineLevel="0" collapsed="false">
      <c r="A34" s="0" t="s">
        <v>55</v>
      </c>
      <c r="B34" s="0" t="n">
        <v>4.6</v>
      </c>
    </row>
    <row r="35" customFormat="false" ht="15" hidden="false" customHeight="false" outlineLevel="0" collapsed="false">
      <c r="A35" s="0" t="s">
        <v>56</v>
      </c>
      <c r="B35" s="0" t="n">
        <v>3.95</v>
      </c>
    </row>
    <row r="36" customFormat="false" ht="15" hidden="false" customHeight="false" outlineLevel="0" collapsed="false">
      <c r="A36" s="0" t="s">
        <v>68</v>
      </c>
      <c r="B36" s="0" t="n">
        <v>2.08</v>
      </c>
    </row>
    <row r="37" customFormat="false" ht="15" hidden="false" customHeight="false" outlineLevel="0" collapsed="false">
      <c r="A37" s="0" t="s">
        <v>41</v>
      </c>
      <c r="B37" s="0" t="n">
        <v>0.39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13" min="3" style="0" width="14"/>
  </cols>
  <sheetData>
    <row r="1" customFormat="false" ht="39.75" hidden="false" customHeight="true" outlineLevel="0" collapsed="false">
      <c r="A1" s="7" t="s">
        <v>79</v>
      </c>
      <c r="B1" s="7" t="s">
        <v>77</v>
      </c>
      <c r="C1" s="7" t="s">
        <v>80</v>
      </c>
      <c r="D1" s="7" t="s">
        <v>81</v>
      </c>
      <c r="E1" s="7" t="s">
        <v>82</v>
      </c>
      <c r="F1" s="7" t="s">
        <v>83</v>
      </c>
      <c r="G1" s="7" t="s">
        <v>84</v>
      </c>
      <c r="H1" s="7" t="s">
        <v>85</v>
      </c>
      <c r="I1" s="7" t="s">
        <v>86</v>
      </c>
      <c r="J1" s="7" t="s">
        <v>87</v>
      </c>
      <c r="K1" s="7" t="s">
        <v>88</v>
      </c>
      <c r="L1" s="7" t="s">
        <v>89</v>
      </c>
      <c r="M1" s="7" t="s">
        <v>90</v>
      </c>
    </row>
    <row r="2" customFormat="false" ht="15" hidden="false" customHeight="false" outlineLevel="0" collapsed="false">
      <c r="A2" s="8" t="n">
        <v>1</v>
      </c>
      <c r="B2" s="8" t="s">
        <v>40</v>
      </c>
      <c r="C2" s="8" t="n">
        <v>679</v>
      </c>
      <c r="D2" s="8" t="n">
        <v>591</v>
      </c>
      <c r="E2" s="8" t="n">
        <v>87</v>
      </c>
      <c r="F2" s="8" t="n">
        <v>38</v>
      </c>
      <c r="G2" s="8" t="n">
        <v>5.6</v>
      </c>
      <c r="H2" s="8" t="n">
        <v>2</v>
      </c>
      <c r="I2" s="8" t="n">
        <v>0.3</v>
      </c>
      <c r="J2" s="8" t="n">
        <v>9</v>
      </c>
      <c r="K2" s="8" t="n">
        <v>1.3</v>
      </c>
      <c r="L2" s="8" t="n">
        <v>39</v>
      </c>
      <c r="M2" s="8" t="n">
        <v>5.74</v>
      </c>
    </row>
    <row r="3" customFormat="false" ht="15" hidden="false" customHeight="false" outlineLevel="0" collapsed="false">
      <c r="A3" s="8" t="n">
        <v>2</v>
      </c>
      <c r="B3" s="8" t="s">
        <v>41</v>
      </c>
      <c r="C3" s="8" t="n">
        <v>42</v>
      </c>
      <c r="D3" s="8" t="n">
        <v>42</v>
      </c>
      <c r="E3" s="8" t="n">
        <v>100</v>
      </c>
      <c r="F3" s="8"/>
      <c r="G3" s="8"/>
      <c r="H3" s="8"/>
      <c r="I3" s="8"/>
      <c r="J3" s="8"/>
      <c r="K3" s="8"/>
      <c r="L3" s="8"/>
      <c r="M3" s="8"/>
    </row>
    <row r="4" customFormat="false" ht="15" hidden="false" customHeight="false" outlineLevel="0" collapsed="false">
      <c r="A4" s="8" t="n">
        <v>3</v>
      </c>
      <c r="B4" s="8" t="s">
        <v>42</v>
      </c>
      <c r="C4" s="8" t="n">
        <v>245</v>
      </c>
      <c r="D4" s="8" t="n">
        <v>244</v>
      </c>
      <c r="E4" s="8" t="n">
        <v>99.59</v>
      </c>
      <c r="F4" s="8" t="n">
        <v>1</v>
      </c>
      <c r="G4" s="8" t="n">
        <v>0.41</v>
      </c>
      <c r="H4" s="8"/>
      <c r="I4" s="8"/>
      <c r="J4" s="8"/>
      <c r="K4" s="8"/>
      <c r="L4" s="8"/>
      <c r="M4" s="8"/>
    </row>
    <row r="5" customFormat="false" ht="15" hidden="false" customHeight="false" outlineLevel="0" collapsed="false">
      <c r="A5" s="8" t="n">
        <v>4</v>
      </c>
      <c r="B5" s="8" t="s">
        <v>43</v>
      </c>
      <c r="C5" s="8" t="n">
        <v>535</v>
      </c>
      <c r="D5" s="8" t="n">
        <v>473</v>
      </c>
      <c r="E5" s="8" t="n">
        <v>88.41</v>
      </c>
      <c r="F5" s="8" t="n">
        <v>49</v>
      </c>
      <c r="G5" s="8" t="n">
        <v>9.16</v>
      </c>
      <c r="H5" s="8" t="n">
        <v>9</v>
      </c>
      <c r="I5" s="8" t="n">
        <v>1.68</v>
      </c>
      <c r="J5" s="8" t="n">
        <v>4</v>
      </c>
      <c r="K5" s="8" t="n">
        <v>0.75</v>
      </c>
      <c r="L5" s="8"/>
      <c r="M5" s="8"/>
    </row>
    <row r="6" customFormat="false" ht="15" hidden="false" customHeight="false" outlineLevel="0" collapsed="false">
      <c r="A6" s="8" t="n">
        <v>5</v>
      </c>
      <c r="B6" s="8" t="s">
        <v>44</v>
      </c>
      <c r="C6" s="8" t="n">
        <v>146</v>
      </c>
      <c r="D6" s="8" t="n">
        <v>120</v>
      </c>
      <c r="E6" s="8" t="n">
        <v>82.19</v>
      </c>
      <c r="F6" s="8" t="n">
        <v>21</v>
      </c>
      <c r="G6" s="8" t="n">
        <v>14.38</v>
      </c>
      <c r="H6" s="8" t="n">
        <v>5</v>
      </c>
      <c r="I6" s="8" t="n">
        <v>3.42</v>
      </c>
      <c r="J6" s="8"/>
      <c r="K6" s="8"/>
      <c r="L6" s="8"/>
      <c r="M6" s="8"/>
    </row>
    <row r="7" customFormat="false" ht="15" hidden="false" customHeight="false" outlineLevel="0" collapsed="false">
      <c r="A7" s="8" t="n">
        <v>6</v>
      </c>
      <c r="B7" s="8" t="s">
        <v>45</v>
      </c>
      <c r="C7" s="8" t="n">
        <v>12</v>
      </c>
      <c r="D7" s="8" t="n">
        <v>12</v>
      </c>
      <c r="E7" s="8" t="n">
        <v>100</v>
      </c>
      <c r="F7" s="8"/>
      <c r="G7" s="8"/>
      <c r="H7" s="8"/>
      <c r="I7" s="8"/>
      <c r="J7" s="8"/>
      <c r="K7" s="8"/>
      <c r="L7" s="8"/>
      <c r="M7" s="8"/>
    </row>
    <row r="8" customFormat="false" ht="15" hidden="false" customHeight="false" outlineLevel="0" collapsed="false">
      <c r="A8" s="8" t="n">
        <v>7</v>
      </c>
      <c r="B8" s="8" t="s">
        <v>46</v>
      </c>
      <c r="C8" s="8" t="n">
        <v>252</v>
      </c>
      <c r="D8" s="8" t="n">
        <v>184</v>
      </c>
      <c r="E8" s="8" t="n">
        <v>73.02</v>
      </c>
      <c r="F8" s="8" t="n">
        <v>24</v>
      </c>
      <c r="G8" s="8" t="n">
        <v>9.52</v>
      </c>
      <c r="H8" s="8" t="n">
        <v>10</v>
      </c>
      <c r="I8" s="8" t="n">
        <v>3.97</v>
      </c>
      <c r="J8" s="8" t="n">
        <v>22</v>
      </c>
      <c r="K8" s="8" t="n">
        <v>8.73</v>
      </c>
      <c r="L8" s="8" t="n">
        <v>12</v>
      </c>
      <c r="M8" s="8" t="n">
        <v>4.76</v>
      </c>
    </row>
    <row r="9" customFormat="false" ht="15" hidden="false" customHeight="false" outlineLevel="0" collapsed="false">
      <c r="A9" s="8" t="n">
        <v>8</v>
      </c>
      <c r="B9" s="8" t="s">
        <v>47</v>
      </c>
      <c r="C9" s="8" t="n">
        <v>143</v>
      </c>
      <c r="D9" s="8" t="n">
        <v>36</v>
      </c>
      <c r="E9" s="8" t="n">
        <v>25.17</v>
      </c>
      <c r="F9" s="8" t="n">
        <v>8</v>
      </c>
      <c r="G9" s="8" t="n">
        <v>5.59</v>
      </c>
      <c r="H9" s="8" t="n">
        <v>11</v>
      </c>
      <c r="I9" s="8" t="n">
        <v>7.69</v>
      </c>
      <c r="J9" s="8" t="n">
        <v>88</v>
      </c>
      <c r="K9" s="8" t="n">
        <v>61.54</v>
      </c>
      <c r="L9" s="8"/>
      <c r="M9" s="8"/>
    </row>
    <row r="10" customFormat="false" ht="15" hidden="false" customHeight="false" outlineLevel="0" collapsed="false">
      <c r="A10" s="8" t="n">
        <v>9</v>
      </c>
      <c r="B10" s="8" t="s">
        <v>48</v>
      </c>
      <c r="C10" s="8" t="n">
        <v>10</v>
      </c>
      <c r="D10" s="8" t="n">
        <v>10</v>
      </c>
      <c r="E10" s="8" t="n">
        <v>100</v>
      </c>
      <c r="F10" s="8"/>
      <c r="G10" s="8"/>
      <c r="H10" s="8"/>
      <c r="I10" s="8"/>
      <c r="J10" s="8"/>
      <c r="K10" s="8"/>
      <c r="L10" s="8"/>
      <c r="M10" s="8"/>
    </row>
    <row r="11" customFormat="false" ht="15" hidden="false" customHeight="false" outlineLevel="0" collapsed="false">
      <c r="A11" s="8" t="n">
        <v>10</v>
      </c>
      <c r="B11" s="8" t="s">
        <v>49</v>
      </c>
      <c r="C11" s="8" t="n">
        <v>263</v>
      </c>
      <c r="D11" s="8" t="n">
        <v>240</v>
      </c>
      <c r="E11" s="8" t="n">
        <v>91.25</v>
      </c>
      <c r="F11" s="8" t="n">
        <v>12</v>
      </c>
      <c r="G11" s="8" t="n">
        <v>4.56</v>
      </c>
      <c r="H11" s="8" t="n">
        <v>6</v>
      </c>
      <c r="I11" s="8" t="n">
        <v>2.28</v>
      </c>
      <c r="J11" s="8" t="n">
        <v>5</v>
      </c>
      <c r="K11" s="8" t="n">
        <v>1.9</v>
      </c>
      <c r="L11" s="8"/>
      <c r="M11" s="8"/>
    </row>
    <row r="12" customFormat="false" ht="15" hidden="false" customHeight="false" outlineLevel="0" collapsed="false">
      <c r="A12" s="8" t="n">
        <v>11</v>
      </c>
      <c r="B12" s="8" t="s">
        <v>50</v>
      </c>
      <c r="C12" s="8" t="n">
        <v>237</v>
      </c>
      <c r="D12" s="8" t="n">
        <v>144</v>
      </c>
      <c r="E12" s="8" t="n">
        <v>60.76</v>
      </c>
      <c r="F12" s="8" t="n">
        <v>33</v>
      </c>
      <c r="G12" s="8" t="n">
        <v>13.92</v>
      </c>
      <c r="H12" s="8" t="n">
        <v>15</v>
      </c>
      <c r="I12" s="8" t="n">
        <v>6.33</v>
      </c>
      <c r="J12" s="8" t="n">
        <v>45</v>
      </c>
      <c r="K12" s="8" t="n">
        <v>18.99</v>
      </c>
      <c r="L12" s="8"/>
      <c r="M12" s="8"/>
    </row>
    <row r="13" customFormat="false" ht="15" hidden="false" customHeight="false" outlineLevel="0" collapsed="false">
      <c r="A13" s="8" t="n">
        <v>12</v>
      </c>
      <c r="B13" s="8" t="s">
        <v>51</v>
      </c>
      <c r="C13" s="8" t="n">
        <v>152</v>
      </c>
      <c r="D13" s="8" t="n">
        <v>120</v>
      </c>
      <c r="E13" s="8" t="n">
        <v>78.95</v>
      </c>
      <c r="F13" s="8" t="n">
        <v>29</v>
      </c>
      <c r="G13" s="8" t="n">
        <v>19.08</v>
      </c>
      <c r="H13" s="8" t="n">
        <v>3</v>
      </c>
      <c r="I13" s="8" t="n">
        <v>1.97</v>
      </c>
      <c r="J13" s="8"/>
      <c r="K13" s="8"/>
      <c r="L13" s="8"/>
      <c r="M13" s="8"/>
    </row>
    <row r="14" customFormat="false" ht="15" hidden="false" customHeight="false" outlineLevel="0" collapsed="false">
      <c r="A14" s="8" t="n">
        <v>13</v>
      </c>
      <c r="B14" s="8" t="s">
        <v>52</v>
      </c>
      <c r="C14" s="8" t="n">
        <v>317</v>
      </c>
      <c r="D14" s="8" t="n">
        <v>225</v>
      </c>
      <c r="E14" s="8" t="n">
        <v>70.98</v>
      </c>
      <c r="F14" s="8" t="n">
        <v>61</v>
      </c>
      <c r="G14" s="8" t="n">
        <v>19.24</v>
      </c>
      <c r="H14" s="8" t="n">
        <v>5</v>
      </c>
      <c r="I14" s="8" t="n">
        <v>1.58</v>
      </c>
      <c r="J14" s="8" t="n">
        <v>26</v>
      </c>
      <c r="K14" s="8" t="n">
        <v>8.2</v>
      </c>
      <c r="L14" s="8"/>
      <c r="M14" s="8"/>
    </row>
    <row r="15" customFormat="false" ht="15" hidden="false" customHeight="false" outlineLevel="0" collapsed="false">
      <c r="A15" s="8" t="n">
        <v>14</v>
      </c>
      <c r="B15" s="8" t="s">
        <v>53</v>
      </c>
      <c r="C15" s="8" t="n">
        <v>359</v>
      </c>
      <c r="D15" s="8" t="n">
        <v>302</v>
      </c>
      <c r="E15" s="8" t="n">
        <v>84.12</v>
      </c>
      <c r="F15" s="8" t="n">
        <v>41</v>
      </c>
      <c r="G15" s="8" t="n">
        <v>11.42</v>
      </c>
      <c r="H15" s="8" t="n">
        <v>7</v>
      </c>
      <c r="I15" s="8" t="n">
        <v>1.95</v>
      </c>
      <c r="J15" s="8" t="n">
        <v>8</v>
      </c>
      <c r="K15" s="8" t="n">
        <v>2.23</v>
      </c>
      <c r="L15" s="8" t="n">
        <v>1</v>
      </c>
      <c r="M15" s="8" t="n">
        <v>0.28</v>
      </c>
    </row>
    <row r="16" customFormat="false" ht="15" hidden="false" customHeight="false" outlineLevel="0" collapsed="false">
      <c r="A16" s="8" t="n">
        <v>15</v>
      </c>
      <c r="B16" s="8" t="s">
        <v>54</v>
      </c>
      <c r="C16" s="8" t="n">
        <v>9</v>
      </c>
      <c r="D16" s="8" t="n">
        <v>9</v>
      </c>
      <c r="E16" s="8" t="n">
        <v>100</v>
      </c>
      <c r="F16" s="8"/>
      <c r="G16" s="8"/>
      <c r="H16" s="8"/>
      <c r="I16" s="8"/>
      <c r="J16" s="8"/>
      <c r="K16" s="8"/>
      <c r="L16" s="8"/>
      <c r="M16" s="8"/>
    </row>
    <row r="17" customFormat="false" ht="15" hidden="false" customHeight="false" outlineLevel="0" collapsed="false">
      <c r="A17" s="8" t="n">
        <v>16</v>
      </c>
      <c r="B17" s="8" t="s">
        <v>55</v>
      </c>
      <c r="C17" s="8" t="n">
        <v>40</v>
      </c>
      <c r="D17" s="8" t="n">
        <v>40</v>
      </c>
      <c r="E17" s="8" t="n">
        <v>100</v>
      </c>
      <c r="F17" s="8"/>
      <c r="G17" s="8"/>
      <c r="H17" s="8"/>
      <c r="I17" s="8"/>
      <c r="J17" s="8"/>
      <c r="K17" s="8"/>
      <c r="L17" s="8"/>
      <c r="M17" s="8"/>
    </row>
    <row r="18" customFormat="false" ht="15" hidden="false" customHeight="false" outlineLevel="0" collapsed="false">
      <c r="A18" s="8" t="n">
        <v>17</v>
      </c>
      <c r="B18" s="8" t="s">
        <v>56</v>
      </c>
      <c r="C18" s="8" t="n">
        <v>26</v>
      </c>
      <c r="D18" s="8" t="n">
        <v>26</v>
      </c>
      <c r="E18" s="8" t="n">
        <v>100</v>
      </c>
      <c r="F18" s="8"/>
      <c r="G18" s="8"/>
      <c r="H18" s="8"/>
      <c r="I18" s="8"/>
      <c r="J18" s="8"/>
      <c r="K18" s="8"/>
      <c r="L18" s="8"/>
      <c r="M18" s="8"/>
    </row>
    <row r="19" customFormat="false" ht="15" hidden="false" customHeight="false" outlineLevel="0" collapsed="false">
      <c r="A19" s="8" t="n">
        <v>18</v>
      </c>
      <c r="B19" s="8" t="s">
        <v>57</v>
      </c>
      <c r="C19" s="8" t="n">
        <v>52</v>
      </c>
      <c r="D19" s="8" t="n">
        <v>52</v>
      </c>
      <c r="E19" s="8" t="n">
        <v>100</v>
      </c>
      <c r="F19" s="8"/>
      <c r="G19" s="8"/>
      <c r="H19" s="8"/>
      <c r="I19" s="8"/>
      <c r="J19" s="8"/>
      <c r="K19" s="8"/>
      <c r="L19" s="8"/>
      <c r="M19" s="8"/>
    </row>
    <row r="20" customFormat="false" ht="15" hidden="false" customHeight="false" outlineLevel="0" collapsed="false">
      <c r="A20" s="8" t="n">
        <v>19</v>
      </c>
      <c r="B20" s="8" t="s">
        <v>58</v>
      </c>
      <c r="C20" s="8" t="n">
        <v>314</v>
      </c>
      <c r="D20" s="8" t="n">
        <v>299</v>
      </c>
      <c r="E20" s="8" t="n">
        <v>95.22</v>
      </c>
      <c r="F20" s="8" t="n">
        <v>9</v>
      </c>
      <c r="G20" s="8" t="n">
        <v>2.87</v>
      </c>
      <c r="H20" s="8"/>
      <c r="I20" s="8"/>
      <c r="J20" s="8"/>
      <c r="K20" s="8"/>
      <c r="L20" s="8" t="n">
        <v>6</v>
      </c>
      <c r="M20" s="8" t="n">
        <v>1.91</v>
      </c>
    </row>
    <row r="21" customFormat="false" ht="15" hidden="false" customHeight="false" outlineLevel="0" collapsed="false">
      <c r="A21" s="8" t="n">
        <v>20</v>
      </c>
      <c r="B21" s="8" t="s">
        <v>59</v>
      </c>
      <c r="C21" s="8" t="n">
        <v>153</v>
      </c>
      <c r="D21" s="8" t="n">
        <v>22</v>
      </c>
      <c r="E21" s="8" t="n">
        <v>14.38</v>
      </c>
      <c r="F21" s="8" t="n">
        <v>12</v>
      </c>
      <c r="G21" s="8" t="n">
        <v>7.84</v>
      </c>
      <c r="H21" s="8" t="n">
        <v>4</v>
      </c>
      <c r="I21" s="8" t="n">
        <v>2.61</v>
      </c>
      <c r="J21" s="8" t="n">
        <v>115</v>
      </c>
      <c r="K21" s="8" t="n">
        <v>75.16</v>
      </c>
      <c r="L21" s="8"/>
      <c r="M21" s="8"/>
    </row>
    <row r="22" customFormat="false" ht="15" hidden="false" customHeight="false" outlineLevel="0" collapsed="false">
      <c r="A22" s="8" t="n">
        <v>21</v>
      </c>
      <c r="B22" s="8" t="s">
        <v>60</v>
      </c>
      <c r="C22" s="8" t="n">
        <v>302</v>
      </c>
      <c r="D22" s="8" t="n">
        <v>37</v>
      </c>
      <c r="E22" s="8" t="n">
        <v>12.25</v>
      </c>
      <c r="F22" s="8" t="n">
        <v>21</v>
      </c>
      <c r="G22" s="8" t="n">
        <v>6.95</v>
      </c>
      <c r="H22" s="8" t="n">
        <v>27</v>
      </c>
      <c r="I22" s="8" t="n">
        <v>8.94</v>
      </c>
      <c r="J22" s="8" t="n">
        <v>214</v>
      </c>
      <c r="K22" s="8" t="n">
        <v>70.86</v>
      </c>
      <c r="L22" s="8" t="n">
        <v>3</v>
      </c>
      <c r="M22" s="8" t="n">
        <v>0.99</v>
      </c>
    </row>
    <row r="23" customFormat="false" ht="15" hidden="false" customHeight="false" outlineLevel="0" collapsed="false">
      <c r="A23" s="8" t="n">
        <v>22</v>
      </c>
      <c r="B23" s="8" t="s">
        <v>61</v>
      </c>
      <c r="C23" s="8" t="n">
        <v>38</v>
      </c>
      <c r="D23" s="8" t="n">
        <v>38</v>
      </c>
      <c r="E23" s="8" t="n">
        <v>100</v>
      </c>
      <c r="F23" s="8"/>
      <c r="G23" s="8"/>
      <c r="H23" s="8"/>
      <c r="I23" s="8"/>
      <c r="J23" s="8"/>
      <c r="K23" s="8"/>
      <c r="L23" s="8"/>
      <c r="M23" s="8"/>
    </row>
    <row r="24" customFormat="false" ht="15" hidden="false" customHeight="false" outlineLevel="0" collapsed="false">
      <c r="A24" s="8" t="n">
        <v>23</v>
      </c>
      <c r="B24" s="8" t="s">
        <v>62</v>
      </c>
      <c r="C24" s="8" t="n">
        <v>313</v>
      </c>
      <c r="D24" s="8" t="n">
        <v>127</v>
      </c>
      <c r="E24" s="8" t="n">
        <v>40.58</v>
      </c>
      <c r="F24" s="8" t="n">
        <v>55</v>
      </c>
      <c r="G24" s="8" t="n">
        <v>17.57</v>
      </c>
      <c r="H24" s="8" t="n">
        <v>20</v>
      </c>
      <c r="I24" s="8" t="n">
        <v>6.39</v>
      </c>
      <c r="J24" s="8" t="n">
        <v>106</v>
      </c>
      <c r="K24" s="8" t="n">
        <v>33.87</v>
      </c>
      <c r="L24" s="8" t="n">
        <v>5</v>
      </c>
      <c r="M24" s="8" t="n">
        <v>1.6</v>
      </c>
    </row>
    <row r="25" customFormat="false" ht="15" hidden="false" customHeight="false" outlineLevel="0" collapsed="false">
      <c r="A25" s="8" t="n">
        <v>24</v>
      </c>
      <c r="B25" s="8" t="s">
        <v>63</v>
      </c>
      <c r="C25" s="8" t="n">
        <v>620</v>
      </c>
      <c r="D25" s="8" t="n">
        <v>490</v>
      </c>
      <c r="E25" s="8" t="n">
        <v>79.03</v>
      </c>
      <c r="F25" s="8" t="n">
        <v>85</v>
      </c>
      <c r="G25" s="8" t="n">
        <v>13.71</v>
      </c>
      <c r="H25" s="8" t="n">
        <v>13</v>
      </c>
      <c r="I25" s="8" t="n">
        <v>2.1</v>
      </c>
      <c r="J25" s="8" t="n">
        <v>32</v>
      </c>
      <c r="K25" s="8" t="n">
        <v>5.16</v>
      </c>
      <c r="L25" s="8"/>
      <c r="M25" s="8"/>
    </row>
    <row r="26" customFormat="false" ht="15" hidden="false" customHeight="false" outlineLevel="0" collapsed="false">
      <c r="A26" s="8" t="n">
        <v>25</v>
      </c>
      <c r="B26" s="8" t="s">
        <v>64</v>
      </c>
      <c r="C26" s="8" t="n">
        <v>59</v>
      </c>
      <c r="D26" s="8" t="n">
        <v>59</v>
      </c>
      <c r="E26" s="8" t="n">
        <v>100</v>
      </c>
      <c r="F26" s="8"/>
      <c r="G26" s="8"/>
      <c r="H26" s="8"/>
      <c r="I26" s="8"/>
      <c r="J26" s="8"/>
      <c r="K26" s="8"/>
      <c r="L26" s="8"/>
      <c r="M26" s="8"/>
    </row>
    <row r="27" customFormat="false" ht="15" hidden="false" customHeight="false" outlineLevel="0" collapsed="false">
      <c r="A27" s="8" t="n">
        <v>26</v>
      </c>
      <c r="B27" s="8" t="s">
        <v>65</v>
      </c>
      <c r="C27" s="8" t="n">
        <v>836</v>
      </c>
      <c r="D27" s="8" t="n">
        <v>566</v>
      </c>
      <c r="E27" s="8" t="n">
        <v>67.7</v>
      </c>
      <c r="F27" s="8" t="n">
        <v>165</v>
      </c>
      <c r="G27" s="8" t="n">
        <v>19.74</v>
      </c>
      <c r="H27" s="8" t="n">
        <v>46</v>
      </c>
      <c r="I27" s="8" t="n">
        <v>5.5</v>
      </c>
      <c r="J27" s="8" t="n">
        <v>59</v>
      </c>
      <c r="K27" s="8" t="n">
        <v>7.06</v>
      </c>
      <c r="L27" s="8"/>
      <c r="M27" s="8"/>
    </row>
    <row r="28" customFormat="false" ht="15" hidden="false" customHeight="false" outlineLevel="0" collapsed="false">
      <c r="A28" s="8" t="n">
        <v>27</v>
      </c>
      <c r="B28" s="8" t="s">
        <v>66</v>
      </c>
      <c r="C28" s="8" t="n">
        <v>20</v>
      </c>
      <c r="D28" s="8" t="n">
        <v>16</v>
      </c>
      <c r="E28" s="8" t="n">
        <v>80</v>
      </c>
      <c r="F28" s="8" t="n">
        <v>4</v>
      </c>
      <c r="G28" s="8" t="n">
        <v>20</v>
      </c>
      <c r="H28" s="8"/>
      <c r="I28" s="8"/>
      <c r="J28" s="8"/>
      <c r="K28" s="8"/>
      <c r="L28" s="8"/>
      <c r="M28" s="8"/>
    </row>
    <row r="29" customFormat="false" ht="15" hidden="false" customHeight="false" outlineLevel="0" collapsed="false">
      <c r="A29" s="8" t="n">
        <v>28</v>
      </c>
      <c r="B29" s="8" t="s">
        <v>67</v>
      </c>
      <c r="C29" s="8" t="n">
        <v>345</v>
      </c>
      <c r="D29" s="8" t="n">
        <v>239</v>
      </c>
      <c r="E29" s="8" t="n">
        <v>69.28</v>
      </c>
      <c r="F29" s="8" t="n">
        <v>36</v>
      </c>
      <c r="G29" s="8" t="n">
        <v>10.43</v>
      </c>
      <c r="H29" s="8" t="n">
        <v>10</v>
      </c>
      <c r="I29" s="8" t="n">
        <v>2.9</v>
      </c>
      <c r="J29" s="8"/>
      <c r="K29" s="8"/>
      <c r="L29" s="8" t="n">
        <v>60</v>
      </c>
      <c r="M29" s="8" t="n">
        <v>17.39</v>
      </c>
    </row>
    <row r="30" customFormat="false" ht="15" hidden="false" customHeight="false" outlineLevel="0" collapsed="false">
      <c r="A30" s="8" t="n">
        <v>29</v>
      </c>
      <c r="B30" s="8" t="s">
        <v>68</v>
      </c>
      <c r="C30" s="8" t="n">
        <v>9</v>
      </c>
      <c r="D30" s="8" t="n">
        <v>9</v>
      </c>
      <c r="E30" s="8" t="n">
        <v>100</v>
      </c>
      <c r="F30" s="8"/>
      <c r="G30" s="8"/>
      <c r="H30" s="8"/>
      <c r="I30" s="8"/>
      <c r="J30" s="8"/>
      <c r="K30" s="8"/>
      <c r="L30" s="8"/>
      <c r="M30" s="8"/>
    </row>
    <row r="31" customFormat="false" ht="15" hidden="false" customHeight="false" outlineLevel="0" collapsed="false">
      <c r="A31" s="8" t="n">
        <v>30</v>
      </c>
      <c r="B31" s="8" t="s">
        <v>69</v>
      </c>
      <c r="C31" s="8" t="n">
        <v>1</v>
      </c>
      <c r="D31" s="8" t="n">
        <v>1</v>
      </c>
      <c r="E31" s="8" t="n">
        <v>100</v>
      </c>
      <c r="F31" s="8"/>
      <c r="G31" s="8"/>
      <c r="H31" s="8"/>
      <c r="I31" s="8"/>
      <c r="J31" s="8"/>
      <c r="K31" s="8"/>
      <c r="L31" s="8"/>
      <c r="M31" s="8"/>
    </row>
    <row r="32" customFormat="false" ht="15" hidden="false" customHeight="false" outlineLevel="0" collapsed="false">
      <c r="A32" s="8" t="n">
        <v>31</v>
      </c>
      <c r="B32" s="8" t="s">
        <v>70</v>
      </c>
      <c r="C32" s="8" t="n">
        <v>3</v>
      </c>
      <c r="D32" s="8"/>
      <c r="E32" s="8"/>
      <c r="F32" s="8"/>
      <c r="G32" s="8"/>
      <c r="H32" s="8"/>
      <c r="I32" s="8"/>
      <c r="J32" s="8" t="n">
        <v>3</v>
      </c>
      <c r="K32" s="8" t="n">
        <v>100</v>
      </c>
      <c r="L32" s="8"/>
      <c r="M32" s="8"/>
    </row>
    <row r="33" customFormat="false" ht="15" hidden="false" customHeight="false" outlineLevel="0" collapsed="false">
      <c r="A33" s="8" t="n">
        <v>32</v>
      </c>
      <c r="B33" s="8" t="s">
        <v>71</v>
      </c>
      <c r="C33" s="8" t="n">
        <v>34</v>
      </c>
      <c r="D33" s="8" t="n">
        <v>5</v>
      </c>
      <c r="E33" s="8" t="n">
        <v>14.71</v>
      </c>
      <c r="F33" s="8" t="n">
        <v>2</v>
      </c>
      <c r="G33" s="8" t="n">
        <v>5.88</v>
      </c>
      <c r="H33" s="8" t="n">
        <v>13</v>
      </c>
      <c r="I33" s="8" t="n">
        <v>38.24</v>
      </c>
      <c r="J33" s="8" t="n">
        <v>14</v>
      </c>
      <c r="K33" s="8" t="n">
        <v>41.18</v>
      </c>
      <c r="L33" s="8"/>
      <c r="M33" s="8"/>
    </row>
    <row r="34" customFormat="false" ht="15" hidden="false" customHeight="false" outlineLevel="0" collapsed="false">
      <c r="A34" s="8" t="n">
        <v>33</v>
      </c>
      <c r="B34" s="8" t="s">
        <v>72</v>
      </c>
      <c r="C34" s="8" t="n">
        <v>149</v>
      </c>
      <c r="D34" s="8" t="n">
        <v>149</v>
      </c>
      <c r="E34" s="8" t="n">
        <v>100</v>
      </c>
      <c r="F34" s="8"/>
      <c r="G34" s="8"/>
      <c r="H34" s="8"/>
      <c r="I34" s="8"/>
      <c r="J34" s="8"/>
      <c r="K34" s="8"/>
      <c r="L34" s="8"/>
      <c r="M34" s="8"/>
    </row>
    <row r="35" customFormat="false" ht="15" hidden="false" customHeight="false" outlineLevel="0" collapsed="false">
      <c r="A35" s="8" t="n">
        <v>34</v>
      </c>
      <c r="B35" s="8" t="s">
        <v>74</v>
      </c>
      <c r="C35" s="8" t="n">
        <v>18</v>
      </c>
      <c r="D35" s="8" t="n">
        <v>17</v>
      </c>
      <c r="E35" s="8" t="n">
        <v>94.44</v>
      </c>
      <c r="F35" s="8" t="n">
        <v>1</v>
      </c>
      <c r="G35" s="8" t="n">
        <v>5.56</v>
      </c>
      <c r="H35" s="8"/>
      <c r="I35" s="8"/>
      <c r="J35" s="8"/>
      <c r="K35" s="8"/>
      <c r="L35" s="8"/>
      <c r="M35" s="8"/>
    </row>
    <row r="36" customFormat="false" ht="15" hidden="false" customHeight="false" outlineLevel="0" collapsed="false">
      <c r="A36" s="8" t="n">
        <v>35</v>
      </c>
      <c r="B36" s="8" t="s">
        <v>75</v>
      </c>
      <c r="C36" s="8" t="n">
        <v>5</v>
      </c>
      <c r="D36" s="8" t="n">
        <v>4</v>
      </c>
      <c r="E36" s="8" t="n">
        <v>80</v>
      </c>
      <c r="F36" s="8" t="n">
        <v>1</v>
      </c>
      <c r="G36" s="8" t="n">
        <v>20</v>
      </c>
      <c r="H36" s="8"/>
      <c r="I36" s="8"/>
      <c r="J36" s="8"/>
      <c r="K36" s="8"/>
      <c r="L36" s="8"/>
      <c r="M36" s="8"/>
    </row>
    <row r="37" customFormat="false" ht="15" hidden="false" customHeight="false" outlineLevel="0" collapsed="false">
      <c r="A37" s="8" t="n">
        <v>36</v>
      </c>
      <c r="B37" s="8" t="s">
        <v>73</v>
      </c>
      <c r="C37" s="8" t="n">
        <v>8</v>
      </c>
      <c r="D37" s="8" t="n">
        <v>3</v>
      </c>
      <c r="E37" s="8" t="n">
        <v>37.5</v>
      </c>
      <c r="F37" s="8" t="n">
        <v>3</v>
      </c>
      <c r="G37" s="8" t="n">
        <v>37.5</v>
      </c>
      <c r="H37" s="8"/>
      <c r="I37" s="8"/>
      <c r="J37" s="8" t="n">
        <v>1</v>
      </c>
      <c r="K37" s="8" t="n">
        <v>12.5</v>
      </c>
      <c r="L37" s="8" t="n">
        <v>1</v>
      </c>
      <c r="M37" s="8" t="n">
        <v>12.5</v>
      </c>
    </row>
    <row r="38" customFormat="false" ht="15" hidden="false" customHeight="false" outlineLevel="0" collapsed="false">
      <c r="B38" s="5" t="s">
        <v>76</v>
      </c>
      <c r="C38" s="11" t="n">
        <f aca="false">SUM(C2:C37)</f>
        <v>6746</v>
      </c>
      <c r="D38" s="11" t="n">
        <f aca="false">SUM(D2:D37)</f>
        <v>4951</v>
      </c>
      <c r="E38" s="10" t="n">
        <f aca="false">100*D38/C38</f>
        <v>73.3916394900682</v>
      </c>
      <c r="F38" s="11" t="n">
        <f aca="false">SUM(F2:F37)</f>
        <v>711</v>
      </c>
      <c r="G38" s="10" t="n">
        <f aca="false">100*F38/C38</f>
        <v>10.5395790097836</v>
      </c>
      <c r="H38" s="11" t="n">
        <f aca="false">SUM(H2:H37)</f>
        <v>206</v>
      </c>
      <c r="I38" s="10" t="n">
        <f aca="false">100*H38/C38</f>
        <v>3.05366142899496</v>
      </c>
      <c r="J38" s="11" t="n">
        <f aca="false">SUM(J2:J37)</f>
        <v>751</v>
      </c>
      <c r="K38" s="10" t="n">
        <f aca="false">100*J38/C38</f>
        <v>11.1325229765787</v>
      </c>
      <c r="L38" s="11" t="n">
        <f aca="false">SUM(L2:L37)</f>
        <v>127</v>
      </c>
      <c r="M38" s="10" t="n">
        <f aca="false">100*L38/C38</f>
        <v>1.88259709457456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7" t="s">
        <v>77</v>
      </c>
      <c r="B1" s="7" t="s">
        <v>82</v>
      </c>
      <c r="C1" s="7" t="s">
        <v>84</v>
      </c>
      <c r="D1" s="7" t="s">
        <v>86</v>
      </c>
      <c r="E1" s="7" t="s">
        <v>88</v>
      </c>
    </row>
    <row r="2" customFormat="false" ht="15" hidden="false" customHeight="false" outlineLevel="0" collapsed="false">
      <c r="A2" s="0" t="s">
        <v>70</v>
      </c>
      <c r="B2" s="0" t="n">
        <v>0</v>
      </c>
      <c r="C2" s="0" t="n">
        <v>0</v>
      </c>
      <c r="D2" s="0" t="n">
        <v>0</v>
      </c>
      <c r="E2" s="0" t="n">
        <v>100</v>
      </c>
    </row>
    <row r="3" customFormat="false" ht="15" hidden="false" customHeight="false" outlineLevel="0" collapsed="false">
      <c r="A3" s="0" t="s">
        <v>59</v>
      </c>
      <c r="B3" s="0" t="n">
        <v>14.38</v>
      </c>
      <c r="C3" s="0" t="n">
        <v>7.84</v>
      </c>
      <c r="D3" s="0" t="n">
        <v>2.61</v>
      </c>
      <c r="E3" s="0" t="n">
        <v>75.16</v>
      </c>
    </row>
    <row r="4" customFormat="false" ht="15" hidden="false" customHeight="false" outlineLevel="0" collapsed="false">
      <c r="A4" s="0" t="s">
        <v>60</v>
      </c>
      <c r="B4" s="0" t="n">
        <v>12.25</v>
      </c>
      <c r="C4" s="0" t="n">
        <v>6.95</v>
      </c>
      <c r="D4" s="0" t="n">
        <v>8.94</v>
      </c>
      <c r="E4" s="0" t="n">
        <v>70.86</v>
      </c>
    </row>
    <row r="5" customFormat="false" ht="15" hidden="false" customHeight="false" outlineLevel="0" collapsed="false">
      <c r="A5" s="0" t="s">
        <v>47</v>
      </c>
      <c r="B5" s="0" t="n">
        <v>25.17</v>
      </c>
      <c r="C5" s="0" t="n">
        <v>5.59</v>
      </c>
      <c r="D5" s="0" t="n">
        <v>7.69</v>
      </c>
      <c r="E5" s="0" t="n">
        <v>61.54</v>
      </c>
    </row>
    <row r="6" customFormat="false" ht="15" hidden="false" customHeight="false" outlineLevel="0" collapsed="false">
      <c r="A6" s="0" t="s">
        <v>71</v>
      </c>
      <c r="B6" s="0" t="n">
        <v>14.71</v>
      </c>
      <c r="C6" s="0" t="n">
        <v>5.88</v>
      </c>
      <c r="D6" s="0" t="n">
        <v>38.24</v>
      </c>
      <c r="E6" s="0" t="n">
        <v>41.18</v>
      </c>
    </row>
    <row r="7" customFormat="false" ht="15" hidden="false" customHeight="false" outlineLevel="0" collapsed="false">
      <c r="A7" s="0" t="s">
        <v>62</v>
      </c>
      <c r="B7" s="0" t="n">
        <v>40.58</v>
      </c>
      <c r="C7" s="0" t="n">
        <v>17.57</v>
      </c>
      <c r="D7" s="0" t="n">
        <v>6.39</v>
      </c>
      <c r="E7" s="0" t="n">
        <v>33.87</v>
      </c>
    </row>
    <row r="8" customFormat="false" ht="15" hidden="false" customHeight="false" outlineLevel="0" collapsed="false">
      <c r="A8" s="0" t="s">
        <v>50</v>
      </c>
      <c r="B8" s="0" t="n">
        <v>60.76</v>
      </c>
      <c r="C8" s="0" t="n">
        <v>13.92</v>
      </c>
      <c r="D8" s="0" t="n">
        <v>6.33</v>
      </c>
      <c r="E8" s="0" t="n">
        <v>18.99</v>
      </c>
    </row>
    <row r="9" customFormat="false" ht="15" hidden="false" customHeight="false" outlineLevel="0" collapsed="false">
      <c r="A9" s="0" t="s">
        <v>73</v>
      </c>
      <c r="B9" s="0" t="n">
        <v>37.5</v>
      </c>
      <c r="C9" s="0" t="n">
        <v>37.5</v>
      </c>
      <c r="D9" s="0" t="n">
        <v>0</v>
      </c>
      <c r="E9" s="0" t="n">
        <v>12.5</v>
      </c>
    </row>
    <row r="10" customFormat="false" ht="15" hidden="false" customHeight="false" outlineLevel="0" collapsed="false">
      <c r="A10" s="0" t="s">
        <v>46</v>
      </c>
      <c r="B10" s="0" t="n">
        <v>73.02</v>
      </c>
      <c r="C10" s="0" t="n">
        <v>9.52</v>
      </c>
      <c r="D10" s="0" t="n">
        <v>3.97</v>
      </c>
      <c r="E10" s="0" t="n">
        <v>8.73</v>
      </c>
    </row>
    <row r="11" customFormat="false" ht="15" hidden="false" customHeight="false" outlineLevel="0" collapsed="false">
      <c r="A11" s="0" t="s">
        <v>52</v>
      </c>
      <c r="B11" s="0" t="n">
        <v>70.98</v>
      </c>
      <c r="C11" s="0" t="n">
        <v>19.24</v>
      </c>
      <c r="D11" s="0" t="n">
        <v>1.58</v>
      </c>
      <c r="E11" s="0" t="n">
        <v>8.2</v>
      </c>
    </row>
    <row r="12" customFormat="false" ht="15" hidden="false" customHeight="false" outlineLevel="0" collapsed="false">
      <c r="A12" s="0" t="s">
        <v>65</v>
      </c>
      <c r="B12" s="0" t="n">
        <v>67.7</v>
      </c>
      <c r="C12" s="0" t="n">
        <v>19.74</v>
      </c>
      <c r="D12" s="0" t="n">
        <v>5.5</v>
      </c>
      <c r="E12" s="0" t="n">
        <v>7.06</v>
      </c>
    </row>
    <row r="13" customFormat="false" ht="15" hidden="false" customHeight="false" outlineLevel="0" collapsed="false">
      <c r="A13" s="0" t="s">
        <v>63</v>
      </c>
      <c r="B13" s="0" t="n">
        <v>79.03</v>
      </c>
      <c r="C13" s="0" t="n">
        <v>13.71</v>
      </c>
      <c r="D13" s="0" t="n">
        <v>2.1</v>
      </c>
      <c r="E13" s="0" t="n">
        <v>5.16</v>
      </c>
    </row>
    <row r="14" customFormat="false" ht="15" hidden="false" customHeight="false" outlineLevel="0" collapsed="false">
      <c r="A14" s="0" t="s">
        <v>53</v>
      </c>
      <c r="B14" s="0" t="n">
        <v>84.12</v>
      </c>
      <c r="C14" s="0" t="n">
        <v>11.42</v>
      </c>
      <c r="D14" s="0" t="n">
        <v>1.95</v>
      </c>
      <c r="E14" s="0" t="n">
        <v>2.23</v>
      </c>
    </row>
    <row r="15" customFormat="false" ht="15" hidden="false" customHeight="false" outlineLevel="0" collapsed="false">
      <c r="A15" s="0" t="s">
        <v>49</v>
      </c>
      <c r="B15" s="0" t="n">
        <v>91.25</v>
      </c>
      <c r="C15" s="0" t="n">
        <v>4.56</v>
      </c>
      <c r="D15" s="0" t="n">
        <v>2.28</v>
      </c>
      <c r="E15" s="0" t="n">
        <v>1.9</v>
      </c>
    </row>
    <row r="16" customFormat="false" ht="15" hidden="false" customHeight="false" outlineLevel="0" collapsed="false">
      <c r="A16" s="0" t="s">
        <v>40</v>
      </c>
      <c r="B16" s="0" t="n">
        <v>87</v>
      </c>
      <c r="C16" s="0" t="n">
        <v>5.6</v>
      </c>
      <c r="D16" s="0" t="n">
        <v>0.3</v>
      </c>
      <c r="E16" s="0" t="n">
        <v>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2026-07-09T09:43:43Z</dcterms:created>
  <dc:creator>openpyxl</dc:creator>
  <dc:description/>
  <dc:language>en-US</dc:language>
  <cp:lastModifiedBy/>
  <dcterms:modified xsi:type="dcterms:W3CDTF">2026-07-09T09:43:54Z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